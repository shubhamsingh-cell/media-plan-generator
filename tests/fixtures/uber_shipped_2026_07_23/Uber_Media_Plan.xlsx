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Channels &amp; Strategy" sheetId="2" state="visible" r:id="rId2"/>
    <sheet xmlns:r="http://schemas.openxmlformats.org/officeDocument/2006/relationships" name="Market Intelligence" sheetId="3" state="visible" r:id="rId3"/>
    <sheet xmlns:r="http://schemas.openxmlformats.org/officeDocument/2006/relationships" name="Sources &amp; Confidence" sheetId="4" state="visible" r:id="rId4"/>
    <sheet xmlns:r="http://schemas.openxmlformats.org/officeDocument/2006/relationships" name="ROI Projections" sheetId="5" state="visible" r:id="rId5"/>
    <sheet xmlns:r="http://schemas.openxmlformats.org/officeDocument/2006/relationships" name="Quality Intelligence" sheetId="6" state="visible" r:id="rId6"/>
    <sheet xmlns:r="http://schemas.openxmlformats.org/officeDocument/2006/relationships" name="90-Day Forecast" sheetId="7" state="visible" r:id="rId7"/>
    <sheet xmlns:r="http://schemas.openxmlformats.org/officeDocument/2006/relationships" name="Confidence Intervals" sheetId="8" state="visible" r:id="rId8"/>
    <sheet xmlns:r="http://schemas.openxmlformats.org/officeDocument/2006/relationships" name="Niche Board Matching" sheetId="9" state="visible" r:id="rId9"/>
    <sheet xmlns:r="http://schemas.openxmlformats.org/officeDocument/2006/relationships" name="Channel Recommendations" sheetId="10" state="visible" r:id="rId10"/>
    <sheet xmlns:r="http://schemas.openxmlformats.org/officeDocument/2006/relationships" name="Intl Benchmarks" sheetId="11" state="visible" r:id="rId11"/>
  </sheets>
  <definedNames/>
  <calcPr calcId="124519" fullCalcOnLoad="1"/>
</workbook>
</file>

<file path=xl/styles.xml><?xml version="1.0" encoding="utf-8"?>
<styleSheet xmlns="http://schemas.openxmlformats.org/spreadsheetml/2006/main">
  <numFmts count="6">
    <numFmt numFmtId="164" formatCode="0.0%"/>
    <numFmt numFmtId="165" formatCode="&quot;£&quot;#,##0"/>
    <numFmt numFmtId="166" formatCode="&quot;£&quot;#,##0.00"/>
    <numFmt numFmtId="167" formatCode="0.0"/>
    <numFmt numFmtId="168" formatCode="0&quot; days&quot;"/>
    <numFmt numFmtId="169" formatCode="0&quot;/10&quot;"/>
  </numFmts>
  <fonts count="17">
    <font>
      <name val="Calibri"/>
      <family val="2"/>
      <color theme="1"/>
      <sz val="11"/>
      <scheme val="minor"/>
    </font>
    <font>
      <name val="Poppins"/>
      <b val="1"/>
      <color rgb="00202058"/>
      <sz val="18"/>
    </font>
    <font>
      <name val="Inter"/>
      <i val="1"/>
      <color rgb="006E6E8C"/>
      <sz val="9"/>
    </font>
    <font>
      <name val="Poppins"/>
      <b val="1"/>
      <color rgb="00FFFFFF"/>
      <sz val="14"/>
    </font>
    <font>
      <name val="Poppins"/>
      <b val="1"/>
      <color rgb="00202058"/>
      <sz val="14"/>
    </font>
    <font>
      <name val="Inter"/>
      <color rgb="006E6E8C"/>
      <sz val="9"/>
    </font>
    <font>
      <name val="Inter"/>
      <b val="1"/>
      <color rgb="001F2937"/>
      <sz val="10"/>
    </font>
    <font>
      <name val="Inter"/>
      <color rgb="001F2937"/>
      <sz val="10"/>
    </font>
    <font>
      <name val="Poppins"/>
      <b val="1"/>
      <color rgb="00FFFFFF"/>
      <sz val="10"/>
    </font>
    <font>
      <name val="Poppins"/>
      <b val="1"/>
      <color rgb="00202058"/>
      <sz val="12"/>
    </font>
    <font>
      <name val="Inter"/>
      <color rgb="00202058"/>
      <sz val="11"/>
    </font>
    <font>
      <name val="Inter"/>
      <b val="1"/>
      <color rgb="0016A34A"/>
      <sz val="10"/>
    </font>
    <font>
      <name val="Inter"/>
      <b val="1"/>
      <color rgb="00D97706"/>
      <sz val="10"/>
    </font>
    <font>
      <name val="Inter"/>
      <b val="1"/>
      <color rgb="00DC2626"/>
      <sz val="10"/>
    </font>
    <font>
      <name val="Poppins"/>
      <b val="1"/>
      <color rgb="00FFFFFF"/>
      <sz val="36"/>
    </font>
    <font>
      <name val="Inter"/>
      <i val="1"/>
      <color rgb="0016A34A"/>
      <sz val="10"/>
    </font>
    <font>
      <name val="Poppins"/>
      <b val="1"/>
      <color rgb="00202058"/>
      <sz val="10"/>
    </font>
  </fonts>
  <fills count="12">
    <fill>
      <patternFill/>
    </fill>
    <fill>
      <patternFill patternType="gray125"/>
    </fill>
    <fill>
      <patternFill patternType="solid">
        <fgColor rgb="00202058"/>
        <bgColor rgb="00202058"/>
      </patternFill>
    </fill>
    <fill>
      <patternFill patternType="solid">
        <fgColor rgb="00FFFCF9"/>
        <bgColor rgb="00FFFCF9"/>
      </patternFill>
    </fill>
    <fill>
      <patternFill patternType="solid">
        <fgColor rgb="005A54BE"/>
        <bgColor rgb="005A54BE"/>
      </patternFill>
    </fill>
    <fill>
      <patternFill patternType="solid">
        <fgColor rgb="00FFFFFF"/>
        <bgColor rgb="00FFFFFF"/>
      </patternFill>
    </fill>
    <fill>
      <patternFill patternType="solid">
        <fgColor rgb="00F4F4FF"/>
        <bgColor rgb="00F4F4FF"/>
      </patternFill>
    </fill>
    <fill>
      <patternFill patternType="solid">
        <fgColor rgb="00ECEAF7"/>
        <bgColor rgb="00ECEAF7"/>
      </patternFill>
    </fill>
    <fill>
      <patternFill patternType="solid">
        <fgColor rgb="00DC2626"/>
        <bgColor rgb="00DC2626"/>
      </patternFill>
    </fill>
    <fill>
      <patternFill patternType="solid">
        <fgColor rgb="00FEE2E2"/>
        <bgColor rgb="00FEE2E2"/>
      </patternFill>
    </fill>
    <fill>
      <patternFill patternType="solid">
        <fgColor rgb="00DCFCE7"/>
        <bgColor rgb="00DCFCE7"/>
      </patternFill>
    </fill>
    <fill>
      <patternFill patternType="solid">
        <fgColor rgb="00FEF3C7"/>
        <bgColor rgb="00FEF3C7"/>
      </patternFill>
    </fill>
  </fills>
  <borders count="6">
    <border>
      <left/>
      <right/>
      <top/>
      <bottom/>
      <diagonal/>
    </border>
    <border>
      <left style="thin">
        <color rgb="00E3E1F1"/>
      </left>
      <right style="thin">
        <color rgb="00E3E1F1"/>
      </right>
      <top style="thin">
        <color rgb="00E3E1F1"/>
      </top>
      <bottom style="thin">
        <color rgb="00E3E1F1"/>
      </bottom>
    </border>
    <border>
      <left/>
      <right/>
      <top style="thin">
        <color rgb="00E3E1F1"/>
      </top>
      <bottom/>
      <diagonal/>
    </border>
    <border>
      <left/>
      <right style="thin">
        <color rgb="00E3E1F1"/>
      </right>
      <top style="thin">
        <color rgb="00E3E1F1"/>
      </top>
      <bottom/>
      <diagonal/>
    </border>
    <border>
      <left/>
      <right style="thin">
        <color rgb="00E3E1F1"/>
      </right>
      <top style="thin">
        <color rgb="00E3E1F1"/>
      </top>
      <bottom style="thin">
        <color rgb="00E3E1F1"/>
      </bottom>
      <diagonal/>
    </border>
    <border>
      <bottom style="medium">
        <color rgb="005A54BE"/>
      </bottom>
    </border>
  </borders>
  <cellStyleXfs count="1">
    <xf numFmtId="0" fontId="0" fillId="0" borderId="0"/>
  </cellStyleXfs>
  <cellXfs count="98">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0" applyAlignment="1" pivotButton="0" quotePrefix="0" xfId="0">
      <alignment horizontal="left" vertical="top" wrapText="1"/>
    </xf>
    <xf numFmtId="0" fontId="4" fillId="3" borderId="1" applyAlignment="1" pivotButton="0" quotePrefix="0" xfId="0">
      <alignment horizontal="center" vertical="center" wrapText="1"/>
    </xf>
    <xf numFmtId="0" fontId="0" fillId="0" borderId="4" pivotButton="0" quotePrefix="0" xfId="0"/>
    <xf numFmtId="0" fontId="5" fillId="3" borderId="1" applyAlignment="1" pivotButton="0" quotePrefix="0" xfId="0">
      <alignment horizontal="center" vertical="center" wrapText="1"/>
    </xf>
    <xf numFmtId="0" fontId="6" fillId="3" borderId="1" applyAlignment="1" pivotButton="0" quotePrefix="0" xfId="0">
      <alignment horizontal="left" vertical="top" wrapText="1"/>
    </xf>
    <xf numFmtId="0" fontId="7" fillId="0" borderId="1" applyAlignment="1" pivotButton="0" quotePrefix="0" xfId="0">
      <alignment vertical="top" wrapText="1"/>
    </xf>
    <xf numFmtId="0" fontId="8" fillId="4" borderId="1" applyAlignment="1" pivotButton="0" quotePrefix="0" xfId="0">
      <alignment horizontal="center" vertical="center" wrapText="1"/>
    </xf>
    <xf numFmtId="0" fontId="7" fillId="5" borderId="1" applyAlignment="1" pivotButton="0" quotePrefix="0" xfId="0">
      <alignment horizontal="left" vertical="top" wrapText="1"/>
    </xf>
    <xf numFmtId="164" fontId="7" fillId="5" borderId="1" applyAlignment="1" pivotButton="0" quotePrefix="0" xfId="0">
      <alignment horizontal="center" vertical="center" wrapText="1"/>
    </xf>
    <xf numFmtId="165" fontId="7" fillId="5" borderId="1" applyAlignment="1" pivotButton="0" quotePrefix="0" xfId="0">
      <alignment horizontal="center" vertical="center" wrapText="1"/>
    </xf>
    <xf numFmtId="3" fontId="7" fillId="5" borderId="1" applyAlignment="1" pivotButton="0" quotePrefix="0" xfId="0">
      <alignment horizontal="center" vertical="center" wrapText="1"/>
    </xf>
    <xf numFmtId="166" fontId="7" fillId="5" borderId="1" applyAlignment="1" pivotButton="0" quotePrefix="0" xfId="0">
      <alignment horizontal="center" vertical="center" wrapText="1"/>
    </xf>
    <xf numFmtId="167" fontId="7" fillId="5" borderId="1" applyAlignment="1" pivotButton="0" quotePrefix="0" xfId="0">
      <alignment horizontal="center" vertical="center" wrapText="1"/>
    </xf>
    <xf numFmtId="0" fontId="7" fillId="6" borderId="1" applyAlignment="1" pivotButton="0" quotePrefix="0" xfId="0">
      <alignment horizontal="left" vertical="top" wrapText="1"/>
    </xf>
    <xf numFmtId="164" fontId="7" fillId="6" borderId="1" applyAlignment="1" pivotButton="0" quotePrefix="0" xfId="0">
      <alignment horizontal="center" vertical="center" wrapText="1"/>
    </xf>
    <xf numFmtId="165" fontId="7" fillId="6" borderId="1" applyAlignment="1" pivotButton="0" quotePrefix="0" xfId="0">
      <alignment horizontal="center" vertical="center" wrapText="1"/>
    </xf>
    <xf numFmtId="3" fontId="7" fillId="6" borderId="1" applyAlignment="1" pivotButton="0" quotePrefix="0" xfId="0">
      <alignment horizontal="center" vertical="center" wrapText="1"/>
    </xf>
    <xf numFmtId="166" fontId="7" fillId="6" borderId="1" applyAlignment="1" pivotButton="0" quotePrefix="0" xfId="0">
      <alignment horizontal="center" vertical="center" wrapText="1"/>
    </xf>
    <xf numFmtId="167" fontId="7" fillId="6" borderId="1" applyAlignment="1" pivotButton="0" quotePrefix="0" xfId="0">
      <alignment horizontal="center" vertical="center" wrapText="1"/>
    </xf>
    <xf numFmtId="0" fontId="6" fillId="7" borderId="1" applyAlignment="1" pivotButton="0" quotePrefix="0" xfId="0">
      <alignment horizontal="left" vertical="top" wrapText="1"/>
    </xf>
    <xf numFmtId="0" fontId="6" fillId="7" borderId="1" applyAlignment="1" pivotButton="0" quotePrefix="0" xfId="0">
      <alignment horizontal="center" vertical="center" wrapText="1"/>
    </xf>
    <xf numFmtId="165" fontId="6" fillId="7" borderId="1" applyAlignment="1" pivotButton="0" quotePrefix="0" xfId="0">
      <alignment horizontal="center" vertical="center" wrapText="1"/>
    </xf>
    <xf numFmtId="3" fontId="6" fillId="7" borderId="1" applyAlignment="1" pivotButton="0" quotePrefix="0" xfId="0">
      <alignment horizontal="center" vertical="center" wrapText="1"/>
    </xf>
    <xf numFmtId="0" fontId="6" fillId="0" borderId="0" pivotButton="0" quotePrefix="0" xfId="0"/>
    <xf numFmtId="0" fontId="7" fillId="0" borderId="0" pivotButton="0" quotePrefix="0" xfId="0"/>
    <xf numFmtId="165" fontId="7" fillId="0" borderId="0" pivotButton="0" quotePrefix="0" xfId="0"/>
    <xf numFmtId="0" fontId="9" fillId="0" borderId="5" applyAlignment="1" pivotButton="0" quotePrefix="0" xfId="0">
      <alignment horizontal="left" vertical="top" wrapText="1"/>
    </xf>
    <xf numFmtId="0" fontId="10" fillId="6" borderId="0" applyAlignment="1" pivotButton="0" quotePrefix="0" xfId="0">
      <alignment horizontal="left" vertical="top" wrapText="1"/>
    </xf>
    <xf numFmtId="0" fontId="8" fillId="8" borderId="1" applyAlignment="1" pivotButton="0" quotePrefix="0" xfId="0">
      <alignment horizontal="center" vertical="center" wrapText="1"/>
    </xf>
    <xf numFmtId="0" fontId="6" fillId="9" borderId="1" applyAlignment="1" pivotButton="0" quotePrefix="0" xfId="0">
      <alignment vertical="top" wrapText="1"/>
    </xf>
    <xf numFmtId="0" fontId="7" fillId="9" borderId="1" applyAlignment="1" pivotButton="0" quotePrefix="0" xfId="0">
      <alignment vertical="top" wrapText="1"/>
    </xf>
    <xf numFmtId="0" fontId="7" fillId="5" borderId="0" applyAlignment="1" pivotButton="0" quotePrefix="0" xfId="0">
      <alignment vertical="top" wrapText="1"/>
    </xf>
    <xf numFmtId="0" fontId="7" fillId="6" borderId="0" applyAlignment="1" pivotButton="0" quotePrefix="0" xfId="0">
      <alignment vertical="top" wrapText="1"/>
    </xf>
    <xf numFmtId="0" fontId="7" fillId="5" borderId="1" applyAlignment="1" pivotButton="0" quotePrefix="0" xfId="0">
      <alignment vertical="top" wrapText="1"/>
    </xf>
    <xf numFmtId="164" fontId="7" fillId="5" borderId="1" applyAlignment="1" pivotButton="0" quotePrefix="0" xfId="0">
      <alignment vertical="top" wrapText="1"/>
    </xf>
    <xf numFmtId="165" fontId="7" fillId="5" borderId="1" applyAlignment="1" pivotButton="0" quotePrefix="0" xfId="0">
      <alignment vertical="top" wrapText="1"/>
    </xf>
    <xf numFmtId="166" fontId="7" fillId="5" borderId="1" applyAlignment="1" pivotButton="0" quotePrefix="0" xfId="0">
      <alignment vertical="top" wrapText="1"/>
    </xf>
    <xf numFmtId="167" fontId="7" fillId="5" borderId="1" applyAlignment="1" pivotButton="0" quotePrefix="0" xfId="0">
      <alignment vertical="top" wrapText="1"/>
    </xf>
    <xf numFmtId="0" fontId="7" fillId="6" borderId="1" applyAlignment="1" pivotButton="0" quotePrefix="0" xfId="0">
      <alignment vertical="top" wrapText="1"/>
    </xf>
    <xf numFmtId="164" fontId="7" fillId="6" borderId="1" applyAlignment="1" pivotButton="0" quotePrefix="0" xfId="0">
      <alignment vertical="top" wrapText="1"/>
    </xf>
    <xf numFmtId="165" fontId="7" fillId="6" borderId="1" applyAlignment="1" pivotButton="0" quotePrefix="0" xfId="0">
      <alignment vertical="top" wrapText="1"/>
    </xf>
    <xf numFmtId="166" fontId="7" fillId="6" borderId="1" applyAlignment="1" pivotButton="0" quotePrefix="0" xfId="0">
      <alignment vertical="top" wrapText="1"/>
    </xf>
    <xf numFmtId="167" fontId="7" fillId="6" borderId="1" applyAlignment="1" pivotButton="0" quotePrefix="0" xfId="0">
      <alignment vertical="top" wrapText="1"/>
    </xf>
    <xf numFmtId="0" fontId="7" fillId="10" borderId="1" applyAlignment="1" pivotButton="0" quotePrefix="0" xfId="0">
      <alignment vertical="top" wrapText="1"/>
    </xf>
    <xf numFmtId="0" fontId="11" fillId="10" borderId="1" applyAlignment="1" pivotButton="0" quotePrefix="0" xfId="0">
      <alignment vertical="top" wrapText="1"/>
    </xf>
    <xf numFmtId="0" fontId="7" fillId="11" borderId="1" applyAlignment="1" pivotButton="0" quotePrefix="0" xfId="0">
      <alignment vertical="top" wrapText="1"/>
    </xf>
    <xf numFmtId="0" fontId="12" fillId="11" borderId="1" applyAlignment="1" pivotButton="0" quotePrefix="0" xfId="0">
      <alignment vertical="top" wrapText="1"/>
    </xf>
    <xf numFmtId="0" fontId="13" fillId="9" borderId="1" applyAlignment="1" pivotButton="0" quotePrefix="0" xfId="0">
      <alignment vertical="top" wrapText="1"/>
    </xf>
    <xf numFmtId="0" fontId="7" fillId="0" borderId="0" applyAlignment="1" pivotButton="0" quotePrefix="0" xfId="0">
      <alignment vertical="top" wrapText="1"/>
    </xf>
    <xf numFmtId="0" fontId="12" fillId="5" borderId="1" applyAlignment="1" pivotButton="0" quotePrefix="0" xfId="0">
      <alignment vertical="top" wrapText="1"/>
    </xf>
    <xf numFmtId="0" fontId="14" fillId="8" borderId="0" applyAlignment="1" pivotButton="0" quotePrefix="0" xfId="0">
      <alignment horizontal="center" vertical="center" wrapText="1"/>
    </xf>
    <xf numFmtId="0" fontId="15" fillId="0" borderId="0" applyAlignment="1" pivotButton="0" quotePrefix="0" xfId="0">
      <alignment vertical="top" wrapText="1"/>
    </xf>
    <xf numFmtId="0" fontId="2" fillId="0" borderId="0" applyAlignment="1" pivotButton="0" quotePrefix="0" xfId="0">
      <alignment vertical="top" wrapText="1"/>
    </xf>
    <xf numFmtId="0" fontId="11" fillId="5" borderId="1" applyAlignment="1" pivotButton="0" quotePrefix="0" xfId="0">
      <alignment vertical="top" wrapText="1"/>
    </xf>
    <xf numFmtId="0" fontId="5" fillId="6" borderId="0" applyAlignment="1" pivotButton="0" quotePrefix="0" xfId="0">
      <alignment horizontal="center" vertical="center" wrapText="1"/>
    </xf>
    <xf numFmtId="165" fontId="4" fillId="5" borderId="1" applyAlignment="1" pivotButton="0" quotePrefix="0" xfId="0">
      <alignment horizontal="center" vertical="center" wrapText="1"/>
    </xf>
    <xf numFmtId="3" fontId="4" fillId="5" borderId="1" applyAlignment="1" pivotButton="0" quotePrefix="0" xfId="0">
      <alignment horizontal="center" vertical="center" wrapText="1"/>
    </xf>
    <xf numFmtId="166" fontId="4" fillId="5" borderId="1" applyAlignment="1" pivotButton="0" quotePrefix="0" xfId="0">
      <alignment horizontal="center" vertical="center" wrapText="1"/>
    </xf>
    <xf numFmtId="168" fontId="4" fillId="5" borderId="1" applyAlignment="1" pivotButton="0" quotePrefix="0" xfId="0">
      <alignment horizontal="center" vertical="center" wrapText="1"/>
    </xf>
    <xf numFmtId="3" fontId="7" fillId="6" borderId="1" applyAlignment="1" pivotButton="0" quotePrefix="0" xfId="0">
      <alignment vertical="top" wrapText="1"/>
    </xf>
    <xf numFmtId="168" fontId="7" fillId="6" borderId="1" applyAlignment="1" pivotButton="0" quotePrefix="0" xfId="0">
      <alignment vertical="top" wrapText="1"/>
    </xf>
    <xf numFmtId="169" fontId="11" fillId="10" borderId="1" applyAlignment="1" pivotButton="0" quotePrefix="0" xfId="0">
      <alignment vertical="top" wrapText="1"/>
    </xf>
    <xf numFmtId="3" fontId="7" fillId="5" borderId="1" applyAlignment="1" pivotButton="0" quotePrefix="0" xfId="0">
      <alignment vertical="top" wrapText="1"/>
    </xf>
    <xf numFmtId="168" fontId="7" fillId="5" borderId="1" applyAlignment="1" pivotButton="0" quotePrefix="0" xfId="0">
      <alignment vertical="top" wrapText="1"/>
    </xf>
    <xf numFmtId="169" fontId="13" fillId="9" borderId="1" applyAlignment="1" pivotButton="0" quotePrefix="0" xfId="0">
      <alignment vertical="top" wrapText="1"/>
    </xf>
    <xf numFmtId="0" fontId="6" fillId="5" borderId="1" applyAlignment="1" pivotButton="0" quotePrefix="0" xfId="0">
      <alignment vertical="top" wrapText="1"/>
    </xf>
    <xf numFmtId="3" fontId="6" fillId="5" borderId="1" applyAlignment="1" pivotButton="0" quotePrefix="0" xfId="0">
      <alignment vertical="top" wrapText="1"/>
    </xf>
    <xf numFmtId="164" fontId="6" fillId="5" borderId="1" applyAlignment="1" pivotButton="0" quotePrefix="0" xfId="0">
      <alignment vertical="top" wrapText="1"/>
    </xf>
    <xf numFmtId="0" fontId="16" fillId="7" borderId="1" applyAlignment="1" pivotButton="0" quotePrefix="0" xfId="0">
      <alignment horizontal="center" vertical="center" wrapText="1"/>
    </xf>
    <xf numFmtId="0" fontId="6" fillId="10" borderId="1" applyAlignment="1" pivotButton="0" quotePrefix="0" xfId="0">
      <alignment vertical="top" wrapText="1"/>
    </xf>
    <xf numFmtId="165" fontId="6" fillId="10" borderId="1" applyAlignment="1" pivotButton="0" quotePrefix="0" xfId="0">
      <alignment vertical="top" wrapText="1"/>
    </xf>
    <xf numFmtId="164" fontId="6" fillId="10" borderId="1" applyAlignment="1" pivotButton="0" quotePrefix="0" xfId="0">
      <alignment vertical="top" wrapText="1"/>
    </xf>
    <xf numFmtId="0" fontId="2" fillId="5" borderId="1" applyAlignment="1" pivotButton="0" quotePrefix="0" xfId="0">
      <alignment vertical="top" wrapText="1"/>
    </xf>
    <xf numFmtId="165" fontId="2" fillId="5" borderId="1" applyAlignment="1" pivotButton="0" quotePrefix="0" xfId="0">
      <alignment vertical="top" wrapText="1"/>
    </xf>
    <xf numFmtId="0" fontId="6" fillId="6" borderId="1" applyAlignment="1" pivotButton="0" quotePrefix="0" xfId="0">
      <alignment vertical="top" wrapText="1"/>
    </xf>
    <xf numFmtId="165" fontId="6" fillId="6" borderId="1" applyAlignment="1" pivotButton="0" quotePrefix="0" xfId="0">
      <alignment vertical="top" wrapText="1"/>
    </xf>
    <xf numFmtId="164" fontId="6" fillId="6" borderId="1" applyAlignment="1" pivotButton="0" quotePrefix="0" xfId="0">
      <alignment vertical="top" wrapText="1"/>
    </xf>
    <xf numFmtId="0" fontId="11" fillId="6" borderId="1" applyAlignment="1" pivotButton="0" quotePrefix="0" xfId="0">
      <alignment vertical="top" wrapText="1"/>
    </xf>
    <xf numFmtId="0" fontId="13" fillId="6" borderId="1" applyAlignment="1" pivotButton="0" quotePrefix="0" xfId="0">
      <alignment vertical="top" wrapText="1"/>
    </xf>
    <xf numFmtId="166" fontId="6" fillId="6" borderId="1" applyAlignment="1" pivotButton="0" quotePrefix="0" xfId="0">
      <alignment vertical="top" wrapText="1"/>
    </xf>
    <xf numFmtId="0" fontId="12" fillId="6" borderId="1" applyAlignment="1" pivotButton="0" quotePrefix="0" xfId="0">
      <alignment vertical="top" wrapText="1"/>
    </xf>
    <xf numFmtId="3" fontId="6" fillId="6" borderId="1" applyAlignment="1" pivotButton="0" quotePrefix="0" xfId="0">
      <alignment vertical="top" wrapText="1"/>
    </xf>
    <xf numFmtId="166" fontId="6" fillId="5" borderId="1" applyAlignment="1" pivotButton="0" quotePrefix="0" xfId="0">
      <alignment vertical="top" wrapText="1"/>
    </xf>
    <xf numFmtId="0" fontId="13" fillId="5" borderId="1" applyAlignment="1" pivotButton="0" quotePrefix="0" xfId="0">
      <alignment vertical="top" wrapText="1"/>
    </xf>
    <xf numFmtId="0" fontId="3" fillId="4" borderId="0" pivotButton="0" quotePrefix="0" xfId="0"/>
    <xf numFmtId="0" fontId="0" fillId="4" borderId="0" pivotButton="0" quotePrefix="0" xfId="0"/>
    <xf numFmtId="3" fontId="7" fillId="0" borderId="0" pivotButton="0" quotePrefix="0" xfId="0"/>
    <xf numFmtId="166" fontId="7" fillId="0" borderId="0" pivotButton="0" quotePrefix="0" xfId="0"/>
    <xf numFmtId="0" fontId="9" fillId="10" borderId="0" pivotButton="0" quotePrefix="0" xfId="0"/>
    <xf numFmtId="0" fontId="0" fillId="10" borderId="0" pivotButton="0" quotePrefix="0" xfId="0"/>
    <xf numFmtId="0" fontId="8" fillId="2" borderId="0" applyAlignment="1" pivotButton="0" quotePrefix="0" xfId="0">
      <alignment horizontal="center" vertical="center" wrapText="1"/>
    </xf>
    <xf numFmtId="0" fontId="9" fillId="7" borderId="0" pivotButton="0" quotePrefix="0" xfId="0"/>
    <xf numFmtId="0" fontId="0" fillId="7" borderId="0" pivotButton="0" quotePrefix="0" xfId="0"/>
    <xf numFmtId="0" fontId="0"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Budget Allocation by Channel</a:t>
            </a:r>
          </a:p>
        </rich>
      </tx>
    </title>
    <plotArea>
      <pieChart>
        <varyColors val="1"/>
        <ser>
          <idx val="0"/>
          <order val="0"/>
          <tx>
            <strRef>
              <f>'Executive Summary'!K33</f>
            </strRef>
          </tx>
          <spPr>
            <a:ln xmlns:a="http://schemas.openxmlformats.org/drawingml/2006/main">
              <a:prstDash val="solid"/>
            </a:ln>
          </spPr>
          <cat>
            <numRef>
              <f>'Executive Summary'!$J$34:$J$41</f>
            </numRef>
          </cat>
          <val>
            <numRef>
              <f>'Executive Summary'!$K$34:$K$41</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32</row>
      <rowOff>0</rowOff>
    </from>
    <ext cx="45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202058"/>
    <outlinePr summaryBelow="1" summaryRight="1"/>
    <pageSetUpPr/>
  </sheetPr>
  <dimension ref="B2:K81"/>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8" customWidth="1" min="3" max="3"/>
    <col width="18" customWidth="1" min="4" max="4"/>
    <col width="18" customWidth="1" min="5" max="5"/>
    <col width="18" customWidth="1" min="6" max="6"/>
    <col width="18" customWidth="1" min="7" max="7"/>
    <col width="18" customWidth="1" min="8" max="8"/>
    <col width="14" customWidth="1" min="9" max="9"/>
    <col hidden="1" width="14" customWidth="1" min="10" max="10"/>
    <col hidden="1" width="13" customWidth="1" min="11" max="11"/>
  </cols>
  <sheetData>
    <row r="2" ht="36" customHeight="1">
      <c r="B2" s="1" t="inlineStr">
        <is>
          <t>Recruitment Media Plan: Uber</t>
        </is>
      </c>
    </row>
    <row r="3">
      <c r="B3" s="2" t="inlineStr">
        <is>
          <t>Hospitality &amp; Travel | Hybrid | Generated July 23, 2026</t>
        </is>
      </c>
    </row>
    <row r="5" ht="28" customHeight="1">
      <c r="B5" s="3" t="inlineStr">
        <is>
          <t>CAMPAIGN OVERVIEW</t>
        </is>
      </c>
    </row>
    <row r="6">
      <c r="B6" s="4" t="inlineStr">
        <is>
          <t>£2.0M</t>
        </is>
      </c>
      <c r="C6" s="5" t="n"/>
      <c r="D6" s="4" t="inlineStr">
        <is>
          <t>4 weeks</t>
        </is>
      </c>
      <c r="E6" s="5" t="n"/>
      <c r="F6" s="4" t="inlineStr">
        <is>
          <t>6</t>
        </is>
      </c>
      <c r="G6" s="5" t="n"/>
    </row>
    <row r="7">
      <c r="B7" s="6" t="inlineStr">
        <is>
          <t>Budget</t>
        </is>
      </c>
      <c r="C7" s="5" t="n"/>
      <c r="D7" s="6" t="inlineStr">
        <is>
          <t>Duration</t>
        </is>
      </c>
      <c r="E7" s="5" t="n"/>
      <c r="F7" s="6" t="inlineStr">
        <is>
          <t>Locations</t>
        </is>
      </c>
      <c r="G7" s="5" t="n"/>
    </row>
    <row r="9">
      <c r="B9" s="4" t="inlineStr">
        <is>
          <t>1</t>
        </is>
      </c>
      <c r="C9" s="5" t="n"/>
      <c r="D9" s="4" t="inlineStr">
        <is>
          <t>Hospitality &amp; Travel</t>
        </is>
      </c>
      <c r="E9" s="5" t="n"/>
      <c r="F9" s="4" t="inlineStr">
        <is>
          <t>500+ hires</t>
        </is>
      </c>
      <c r="G9" s="5" t="n"/>
    </row>
    <row r="10">
      <c r="B10" s="6" t="inlineStr">
        <is>
          <t>Roles</t>
        </is>
      </c>
      <c r="C10" s="5" t="n"/>
      <c r="D10" s="6" t="inlineStr">
        <is>
          <t>Industry</t>
        </is>
      </c>
      <c r="E10" s="5" t="n"/>
      <c r="F10" s="6" t="inlineStr">
        <is>
          <t>Hire Volume</t>
        </is>
      </c>
      <c r="G10" s="5" t="n"/>
    </row>
    <row r="13" ht="28" customHeight="1">
      <c r="B13" s="3" t="inlineStr">
        <is>
          <t>COMPANY INTELLIGENCE</t>
        </is>
      </c>
    </row>
    <row r="14">
      <c r="B14" s="7" t="inlineStr">
        <is>
          <t>Industry</t>
        </is>
      </c>
      <c r="D14" s="8" t="inlineStr">
        <is>
          <t>Hospitality &amp; Travel</t>
        </is>
      </c>
    </row>
    <row r="15">
      <c r="B15" s="7" t="inlineStr">
        <is>
          <t>Size</t>
        </is>
      </c>
      <c r="D15" s="8" t="inlineStr">
        <is>
          <t>32K employees + 5M drivers</t>
        </is>
      </c>
    </row>
    <row r="17" ht="28" customHeight="1">
      <c r="B17" s="3" t="inlineStr">
        <is>
          <t>BUDGET ALLOCATION</t>
        </is>
      </c>
    </row>
    <row r="18">
      <c r="B18" s="4" t="inlineStr">
        <is>
          <t>£2.0M</t>
        </is>
      </c>
      <c r="C18" s="5" t="n"/>
      <c r="D18" s="4" t="inlineStr">
        <is>
          <t>1,230</t>
        </is>
      </c>
      <c r="E18" s="5" t="n"/>
      <c r="F18" s="4" t="inlineStr">
        <is>
          <t>£1,626</t>
        </is>
      </c>
      <c r="G18" s="5" t="n"/>
    </row>
    <row r="19">
      <c r="B19" s="6" t="inlineStr">
        <is>
          <t>Total Budget</t>
        </is>
      </c>
      <c r="C19" s="5" t="n"/>
      <c r="D19" s="6" t="inlineStr">
        <is>
          <t>Projected Hires</t>
        </is>
      </c>
      <c r="E19" s="5" t="n"/>
      <c r="F19" s="6" t="inlineStr">
        <is>
          <t>Cost / Hire</t>
        </is>
      </c>
      <c r="G19" s="5" t="n"/>
    </row>
    <row r="22" ht="22" customHeight="1">
      <c r="B22" s="9" t="inlineStr">
        <is>
          <t>Channel</t>
        </is>
      </c>
      <c r="C22" s="9" t="inlineStr">
        <is>
          <t>%</t>
        </is>
      </c>
      <c r="D22" s="9" t="inlineStr">
        <is>
          <t>Amount</t>
        </is>
      </c>
      <c r="E22" s="9" t="inlineStr">
        <is>
          <t>Proj. Clicks</t>
        </is>
      </c>
      <c r="F22" s="9" t="inlineStr">
        <is>
          <t>Proj. Apps</t>
        </is>
      </c>
      <c r="G22" s="9" t="inlineStr">
        <is>
          <t>Proj. Hires</t>
        </is>
      </c>
      <c r="H22" s="9" t="inlineStr">
        <is>
          <t>CPC</t>
        </is>
      </c>
      <c r="I22" s="9" t="inlineStr">
        <is>
          <t>CPA</t>
        </is>
      </c>
      <c r="J22" s="9" t="inlineStr">
        <is>
          <t>ROI Score</t>
        </is>
      </c>
    </row>
    <row r="23">
      <c r="B23" s="10" t="inlineStr">
        <is>
          <t>Programmatic (DSP)</t>
        </is>
      </c>
      <c r="C23" s="11" t="n">
        <v>0.281</v>
      </c>
      <c r="D23" s="12" t="n">
        <v>561772.41</v>
      </c>
      <c r="E23" s="13" t="n">
        <v>2442488</v>
      </c>
      <c r="F23" s="13" t="n">
        <v>146549</v>
      </c>
      <c r="G23" s="13" t="n">
        <v>566</v>
      </c>
      <c r="H23" s="14" t="n">
        <v>0.23</v>
      </c>
      <c r="I23" s="14" t="n">
        <v>3.83</v>
      </c>
      <c r="J23" s="15" t="n">
        <v>10</v>
      </c>
    </row>
    <row r="24">
      <c r="B24" s="16" t="inlineStr">
        <is>
          <t>Global Job Boards</t>
        </is>
      </c>
      <c r="C24" s="17" t="n">
        <v>0.193</v>
      </c>
      <c r="D24" s="18" t="n">
        <v>386172.41</v>
      </c>
      <c r="E24" s="19" t="n">
        <v>238378</v>
      </c>
      <c r="F24" s="19" t="n">
        <v>22248</v>
      </c>
      <c r="G24" s="19" t="n">
        <v>132</v>
      </c>
      <c r="H24" s="20" t="n">
        <v>1.62</v>
      </c>
      <c r="I24" s="20" t="n">
        <v>17.36</v>
      </c>
      <c r="J24" s="21" t="n">
        <v>8</v>
      </c>
    </row>
    <row r="25">
      <c r="B25" s="10" t="inlineStr">
        <is>
          <t>Social Media</t>
        </is>
      </c>
      <c r="C25" s="11" t="n">
        <v>0.136</v>
      </c>
      <c r="D25" s="12" t="n">
        <v>273337.93</v>
      </c>
      <c r="E25" s="13" t="n">
        <v>105129</v>
      </c>
      <c r="F25" s="13" t="n">
        <v>2609</v>
      </c>
      <c r="G25" s="13" t="n">
        <v>7</v>
      </c>
      <c r="H25" s="14" t="n">
        <v>2.6</v>
      </c>
      <c r="I25" s="14" t="n">
        <v>104.77</v>
      </c>
      <c r="J25" s="15" t="n">
        <v>1</v>
      </c>
    </row>
    <row r="26">
      <c r="B26" s="16" t="inlineStr">
        <is>
          <t>Regional Job Boards</t>
        </is>
      </c>
      <c r="C26" s="17" t="n">
        <v>0.134</v>
      </c>
      <c r="D26" s="18" t="n">
        <v>267572.41</v>
      </c>
      <c r="E26" s="19" t="n">
        <v>637077</v>
      </c>
      <c r="F26" s="19" t="n">
        <v>42943</v>
      </c>
      <c r="G26" s="19" t="n">
        <v>204</v>
      </c>
      <c r="H26" s="20" t="n">
        <v>0.42</v>
      </c>
      <c r="I26" s="20" t="n">
        <v>6.23</v>
      </c>
      <c r="J26" s="21" t="n">
        <v>9</v>
      </c>
    </row>
    <row r="27">
      <c r="B27" s="10" t="inlineStr">
        <is>
          <t>APAC Regional</t>
        </is>
      </c>
      <c r="C27" s="11" t="n">
        <v>0.098</v>
      </c>
      <c r="D27" s="12" t="n">
        <v>195572.41</v>
      </c>
      <c r="E27" s="13" t="n">
        <v>465648</v>
      </c>
      <c r="F27" s="13" t="n">
        <v>31387</v>
      </c>
      <c r="G27" s="13" t="n">
        <v>149</v>
      </c>
      <c r="H27" s="14" t="n">
        <v>0.42</v>
      </c>
      <c r="I27" s="14" t="n">
        <v>6.23</v>
      </c>
      <c r="J27" s="15" t="n">
        <v>9</v>
      </c>
    </row>
    <row r="28">
      <c r="B28" s="16" t="inlineStr">
        <is>
          <t>EMEA Regional</t>
        </is>
      </c>
      <c r="C28" s="17" t="n">
        <v>0.098</v>
      </c>
      <c r="D28" s="18" t="n">
        <v>195572.41</v>
      </c>
      <c r="E28" s="19" t="n">
        <v>465648</v>
      </c>
      <c r="F28" s="19" t="n">
        <v>31387</v>
      </c>
      <c r="G28" s="19" t="n">
        <v>149</v>
      </c>
      <c r="H28" s="20" t="n">
        <v>0.42</v>
      </c>
      <c r="I28" s="20" t="n">
        <v>6.23</v>
      </c>
      <c r="J28" s="21" t="n">
        <v>9</v>
      </c>
    </row>
    <row r="29">
      <c r="B29" s="10" t="inlineStr">
        <is>
          <t>Niche / Industry Boards</t>
        </is>
      </c>
      <c r="C29" s="11" t="n">
        <v>0.03</v>
      </c>
      <c r="D29" s="12" t="n">
        <v>60000</v>
      </c>
      <c r="E29" s="13" t="n">
        <v>42857</v>
      </c>
      <c r="F29" s="13" t="n">
        <v>2999</v>
      </c>
      <c r="G29" s="13" t="n">
        <v>23</v>
      </c>
      <c r="H29" s="14" t="n">
        <v>1.4</v>
      </c>
      <c r="I29" s="14" t="n">
        <v>20.01</v>
      </c>
      <c r="J29" s="15" t="n">
        <v>8</v>
      </c>
    </row>
    <row r="30">
      <c r="B30" s="16" t="inlineStr">
        <is>
          <t>Employer Branding</t>
        </is>
      </c>
      <c r="C30" s="17" t="n">
        <v>0.03</v>
      </c>
      <c r="D30" s="18" t="n">
        <v>60000</v>
      </c>
      <c r="E30" s="19" t="n">
        <v>66666</v>
      </c>
      <c r="F30" s="19" t="n">
        <v>1599</v>
      </c>
      <c r="G30" s="19" t="n">
        <v>0</v>
      </c>
      <c r="H30" s="20" t="n">
        <v>0.9</v>
      </c>
      <c r="I30" s="20" t="n">
        <v>37.52</v>
      </c>
      <c r="J30" s="21" t="n">
        <v>1</v>
      </c>
    </row>
    <row r="31">
      <c r="B31" s="22" t="inlineStr">
        <is>
          <t>Total</t>
        </is>
      </c>
      <c r="C31" s="23" t="n"/>
      <c r="D31" s="24">
        <f>SUM(D23:D30)</f>
        <v/>
      </c>
      <c r="E31" s="25">
        <f>SUM(E23:E30)</f>
        <v/>
      </c>
      <c r="F31" s="25">
        <f>SUM(F23:F30)</f>
        <v/>
      </c>
      <c r="G31" s="25">
        <f>SUM(G23:G30)</f>
        <v/>
      </c>
      <c r="H31" s="23" t="n"/>
      <c r="I31" s="23" t="n"/>
      <c r="J31" s="23" t="n"/>
    </row>
    <row r="33">
      <c r="J33" s="26" t="inlineStr">
        <is>
          <t>Channel</t>
        </is>
      </c>
      <c r="K33" s="26" t="inlineStr">
        <is>
          <t>Budget (GBP)</t>
        </is>
      </c>
    </row>
    <row r="34">
      <c r="J34" s="27" t="inlineStr">
        <is>
          <t>Programmatic (DSP)</t>
        </is>
      </c>
      <c r="K34" s="28" t="n">
        <v>561772.41</v>
      </c>
    </row>
    <row r="35">
      <c r="J35" s="27" t="inlineStr">
        <is>
          <t>Global Job Boards</t>
        </is>
      </c>
      <c r="K35" s="28" t="n">
        <v>386172.41</v>
      </c>
    </row>
    <row r="36">
      <c r="J36" s="27" t="inlineStr">
        <is>
          <t>Social Media</t>
        </is>
      </c>
      <c r="K36" s="28" t="n">
        <v>273337.93</v>
      </c>
    </row>
    <row r="37">
      <c r="J37" s="27" t="inlineStr">
        <is>
          <t>Regional Job Boards</t>
        </is>
      </c>
      <c r="K37" s="28" t="n">
        <v>267572.41</v>
      </c>
    </row>
    <row r="38">
      <c r="J38" s="27" t="inlineStr">
        <is>
          <t>APAC Regional</t>
        </is>
      </c>
      <c r="K38" s="28" t="n">
        <v>195572.41</v>
      </c>
    </row>
    <row r="39">
      <c r="J39" s="27" t="inlineStr">
        <is>
          <t>EMEA Regional</t>
        </is>
      </c>
      <c r="K39" s="28" t="n">
        <v>195572.41</v>
      </c>
    </row>
    <row r="40">
      <c r="J40" s="27" t="inlineStr">
        <is>
          <t>Niche / Industry Boards</t>
        </is>
      </c>
      <c r="K40" s="28" t="n">
        <v>60000</v>
      </c>
    </row>
    <row r="41">
      <c r="J41" s="27" t="inlineStr">
        <is>
          <t>Employer Branding</t>
        </is>
      </c>
      <c r="K41" s="28" t="n">
        <v>60000</v>
      </c>
    </row>
    <row r="49" ht="28" customHeight="1">
      <c r="B49" s="3" t="inlineStr">
        <is>
          <t>RECRUITMENT BENCHMARKS</t>
        </is>
      </c>
    </row>
    <row r="50" ht="22" customHeight="1">
      <c r="B50" s="29" t="inlineStr">
        <is>
          <t>Industry Benchmarks: Hospitality &amp; Travel</t>
        </is>
      </c>
    </row>
    <row r="51">
      <c r="B51" s="7" t="inlineStr">
        <is>
          <t>CPA</t>
        </is>
      </c>
      <c r="D51" s="8" t="inlineStr">
        <is>
          <t>Range: $10-$30; Median: $18; Hourly Roles: $10-$18; Management: $25-$45; Trend Yoy Yoy: +41% (persistent long-term pressure); 2024: $15-$20; 2025: $18 median; short-term easing but YoY still elevated</t>
        </is>
      </c>
    </row>
    <row r="52">
      <c r="B52" s="7" t="inlineStr">
        <is>
          <t>CPC</t>
        </is>
      </c>
      <c r="D52" s="8" t="inlineStr">
        <is>
          <t>Range: $0.25-$1.00; Median: $0.50; Trend Yoy: Volatile (+53.2% MoM in July 2025 per Recruitics)</t>
        </is>
      </c>
    </row>
    <row r="53">
      <c r="B53" s="7" t="inlineStr">
        <is>
          <t>CPH</t>
        </is>
      </c>
      <c r="D53" s="8" t="inlineStr">
        <is>
          <t>Recruitment Marketing Only: $400-$700; Total Cost Per Hire: $1,500-$3,500; Accommodation Food Service: $1,070 average</t>
        </is>
      </c>
    </row>
    <row r="54">
      <c r="B54" s="7" t="inlineStr">
        <is>
          <t>Apply Rate</t>
        </is>
      </c>
      <c r="D54" s="8" t="inlineStr">
        <is>
          <t>2024: 4-6%; Mobile Apply Rate: 78% of applications via mobile; Notes: Highest application abandonment and interview no-show rates of any industry (iCIMS)</t>
        </is>
      </c>
    </row>
    <row r="55">
      <c r="B55" s="7" t="inlineStr">
        <is>
          <t>Time To Fill</t>
        </is>
      </c>
      <c r="D55" s="8" t="inlineStr">
        <is>
          <t>Average Days: 14-20 days; Notes: Fast hiring cycles due to standardized requirements and high volume needs</t>
        </is>
      </c>
    </row>
    <row r="56">
      <c r="B56" s="7" t="inlineStr">
        <is>
          <t>Offer Acceptance Rate</t>
        </is>
      </c>
      <c r="D56" s="8" t="inlineStr">
        <is>
          <t>70-78%</t>
        </is>
      </c>
    </row>
    <row r="57">
      <c r="B57" s="7" t="inlineStr">
        <is>
          <t>Seasonal Patterns</t>
        </is>
      </c>
      <c r="D57" s="8" t="inlineStr">
        <is>
          <t>Peak Months: March, April, May, September; Operational Peak: April-September; Trough Months: November, January; Notes: Hospitality attraction prices dropped 39% MoM in March 2025 but were 41% higher YoY (Recruitics May 2025).</t>
        </is>
      </c>
    </row>
    <row r="58">
      <c r="B58" s="2" t="inlineStr">
        <is>
          <t>Model vs. benchmark: this plan's blended CPA (£7.10) sits below the cited benchmark floor (£10) and this plan's blended apply rate (6.3%) sits above the cited benchmark ceiling (6.0%). This is a deliberate modeling position, not an error: programmatic buying and ML bid optimization price applications below posted-rate benchmarks; benchmark ranges reflect classic post-and-pray channel pricing.</t>
        </is>
      </c>
    </row>
    <row r="60" ht="28" customHeight="1">
      <c r="B60" s="3" t="inlineStr">
        <is>
          <t>EXECUTIVE STRATEGIC SUMMARY</t>
        </is>
      </c>
    </row>
    <row r="61" ht="20" customHeight="1">
      <c r="B61" s="30" t="inlineStr">
        <is>
          <t># Executive Summary: Uber Commercial Driver Recruitment — 4-Week Global Media Plan
This £2.0M plan is engineered to deliver 1,230 hires against a stated goal of 500+, more than doubling the target by concentrating spend behind Programmatic (DSP) — 28% of budget driving 566 hires at a £992.53 cost-per-hire, the strongest efficiency in the mix — while layering in Regional Job Boards, APAC Regional, and EMEA Regional channels that each hold a consistent £6.23 CPA. The blended economics are compelling: a £1,626.02 cost-per-hire (against a £2,500 industry benchmark) and a 6.31% plan apply rate that sits above the 4.00%-6.00% industry range, produced from 4,463,891 clicks converting through 281,721 applications and 38,936 qualified candidates down to 1,230 hires. The plan is pacing well ahead of the 500+ hire goal within the 4-week window. The key risk to monitor is channel efficiency dispersion — Social Media carries a £104.77 CPA and £39,048.28 cost-per-hire versus £3.83 CPA on Programmatic, so any budget drift toward underperforming channels or unexpected shifts in the 6-market mix (UK, Australia, Mexico, Argentina, Canada, New Zealand) could erode the blended CPH quickly given how concentrated hire volume is in a few top channels. Recommended next step: lock media commitments now and review channel-level CPA/CPH performance at the 2-week mark to reallocate any underperforming spend (particularly Social Media and Niche/Industry Boards) toward Programmatic and Regional Job Boards before the plan concludes.</t>
        </is>
      </c>
    </row>
    <row r="62" ht="20" customHeight="1"/>
    <row r="63" ht="20" customHeight="1"/>
    <row r="64" ht="20" customHeight="1"/>
    <row r="66" ht="28" customHeight="1">
      <c r="B66" s="3" t="inlineStr">
        <is>
          <t>RISK ANALYSIS</t>
        </is>
      </c>
    </row>
    <row r="67" ht="22" customHeight="1">
      <c r="B67" s="31" t="inlineStr">
        <is>
          <t>Risk Factor</t>
        </is>
      </c>
      <c r="D67" s="31" t="inlineStr">
        <is>
          <t>Impact Assessment</t>
        </is>
      </c>
      <c r="F67" s="31" t="inlineStr">
        <is>
          <t>Mitigation Strategy</t>
        </is>
      </c>
    </row>
    <row r="68" ht="40" customHeight="1">
      <c r="B68" s="32" t="inlineStr">
        <is>
          <t>Budget Risk: CPA Inflation</t>
        </is>
      </c>
      <c r="D68" s="33" t="inlineStr">
        <is>
          <t>If CPA rises 20%, projected hires drop from 1,230 to 1,024 (206 fewer hires)</t>
        </is>
      </c>
      <c r="F68" s="33" t="inlineStr">
        <is>
          <t>Build 10-15% budget contingency; diversify to lower-CPA channels</t>
        </is>
      </c>
    </row>
    <row r="70" ht="28" customHeight="1">
      <c r="B70" s="3" t="inlineStr">
        <is>
          <t>KEY RECOMMENDATIONS</t>
        </is>
      </c>
    </row>
    <row r="71" ht="22" customHeight="1">
      <c r="B71" s="29" t="inlineStr">
        <is>
          <t>Recommendations</t>
        </is>
      </c>
    </row>
    <row r="72">
      <c r="B72" s="34" t="inlineStr">
        <is>
          <t xml:space="preserve">  1. Channels with low ROI scores (Social Media) may benefit from budget reallocation to higher-performing channels. Employer Branding also shows 0 hires but is held as brand investment by design -- it is measured on reach and pipeline influence, not direct CPA/hires, so it is not a reallocation candidate here.</t>
        </is>
      </c>
    </row>
    <row r="73">
      <c r="B73" s="35" t="inlineStr">
        <is>
          <t xml:space="preserve">  2. Budget exceeds 1.5x the industry average per hire. Consider investing the surplus in employer branding, Referral Programs incentives, or talent pipeline development for long-term ROI.</t>
        </is>
      </c>
    </row>
    <row r="74">
      <c r="B74" s="34" t="inlineStr">
        <is>
          <t xml:space="preserve">  3. Salary Transparency: Lead every posting with compensation range. Research shows 3.8x more applications when salary appears in the first line (Appcast 2025).</t>
        </is>
      </c>
    </row>
    <row r="75">
      <c r="B75" s="35" t="inlineStr">
        <is>
          <t xml:space="preserve">  4. Streamline Apply Process: Target &lt;5 minute application time. Completion rates jump from 3.5% to 12.5% with shorter forms (SHRM 2025).</t>
        </is>
      </c>
    </row>
    <row r="76">
      <c r="B76" s="34" t="inlineStr">
        <is>
          <t xml:space="preserve">  5. Optimize Job Titles: Use 1-3 word titles for maximum apply rate (6.22% vs 4.5%). Avoid keyword stuffing — searchers use short queries (Joveo 108K job analysis).</t>
        </is>
      </c>
    </row>
    <row r="77">
      <c r="B77" s="35" t="inlineStr">
        <is>
          <t xml:space="preserve">  6. Add Visual Creative: Include employee photos or short videos in job ads for +34% more applications. Real photos outperform stock imagery (LinkedIn Talent Solutions 2025).</t>
        </is>
      </c>
    </row>
    <row r="78">
      <c r="B78" s="34" t="inlineStr">
        <is>
          <t xml:space="preserve">  7. Mobile-First Design: 65-89% of applicants use mobile. Ensure one-tap apply, no mandatory file uploads, and responsive layouts (Indeed Mobile Report 2025).</t>
        </is>
      </c>
    </row>
    <row r="81">
      <c r="B81" s="2" t="inlineStr">
        <is>
          <t>Generated by Nova AI Media Plan Generator | July 23, 2026 | Created by Shubham Singh Chandel | Joveo Global Supply Team</t>
        </is>
      </c>
    </row>
  </sheetData>
  <mergeCells count="63">
    <mergeCell ref="B54:C54"/>
    <mergeCell ref="D10:E10"/>
    <mergeCell ref="B7:C7"/>
    <mergeCell ref="B74:H74"/>
    <mergeCell ref="F10:G10"/>
    <mergeCell ref="D19:E19"/>
    <mergeCell ref="B49:H49"/>
    <mergeCell ref="F68:G68"/>
    <mergeCell ref="F19:G19"/>
    <mergeCell ref="F6:G6"/>
    <mergeCell ref="B18:C18"/>
    <mergeCell ref="B56:C56"/>
    <mergeCell ref="B5:H5"/>
    <mergeCell ref="B76:H76"/>
    <mergeCell ref="F7:G7"/>
    <mergeCell ref="D6:E6"/>
    <mergeCell ref="B52:C52"/>
    <mergeCell ref="D52:H52"/>
    <mergeCell ref="B50:H50"/>
    <mergeCell ref="B61:H64"/>
    <mergeCell ref="D57:H57"/>
    <mergeCell ref="B67:C67"/>
    <mergeCell ref="B75:H75"/>
    <mergeCell ref="F18:G18"/>
    <mergeCell ref="B14:C14"/>
    <mergeCell ref="B72:H72"/>
    <mergeCell ref="B3:H3"/>
    <mergeCell ref="B57:C57"/>
    <mergeCell ref="B81:H81"/>
    <mergeCell ref="B53:C53"/>
    <mergeCell ref="B66:H66"/>
    <mergeCell ref="D53:H53"/>
    <mergeCell ref="D7:E7"/>
    <mergeCell ref="B58:H58"/>
    <mergeCell ref="B71:H71"/>
    <mergeCell ref="B19:C19"/>
    <mergeCell ref="B10:C10"/>
    <mergeCell ref="B77:H77"/>
    <mergeCell ref="B70:H70"/>
    <mergeCell ref="B2:H2"/>
    <mergeCell ref="D18:E18"/>
    <mergeCell ref="B9:C9"/>
    <mergeCell ref="D9:E9"/>
    <mergeCell ref="D56:H56"/>
    <mergeCell ref="B60:H60"/>
    <mergeCell ref="F9:G9"/>
    <mergeCell ref="F67:G67"/>
    <mergeCell ref="B55:C55"/>
    <mergeCell ref="B6:C6"/>
    <mergeCell ref="B68:C68"/>
    <mergeCell ref="B15:C15"/>
    <mergeCell ref="D15:H15"/>
    <mergeCell ref="B13:H13"/>
    <mergeCell ref="B17:H17"/>
    <mergeCell ref="D55:H55"/>
    <mergeCell ref="B51:C51"/>
    <mergeCell ref="D67:E67"/>
    <mergeCell ref="D68:E68"/>
    <mergeCell ref="B73:H73"/>
    <mergeCell ref="D51:H51"/>
    <mergeCell ref="B78:H78"/>
    <mergeCell ref="D14:H14"/>
    <mergeCell ref="D54:H54"/>
  </mergeCells>
  <conditionalFormatting sqref="J23:J30">
    <cfRule type="colorScale" priority="1">
      <colorScale>
        <cfvo type="min"/>
        <cfvo type="percentile" val="50"/>
        <cfvo type="max"/>
        <color rgb="00DC2626"/>
        <color rgb="00D97706"/>
        <color rgb="0016A34A"/>
      </colorScale>
    </cfRule>
  </conditionalFormatting>
  <conditionalFormatting sqref="D23:D30">
    <cfRule type="dataBar" priority="2">
      <dataBar showValue="1">
        <cfvo type="min"/>
        <cfvo type="max"/>
        <color rgb="005A54BE"/>
      </dataBar>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5A54BE"/>
    <outlinePr summaryBelow="1" summaryRight="1"/>
    <pageSetUpPr/>
  </sheetPr>
  <dimension ref="B2:H4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14" customWidth="1" min="3" max="3"/>
    <col width="14" customWidth="1" min="4" max="4"/>
    <col width="14" customWidth="1" min="5" max="5"/>
    <col width="14" customWidth="1" min="6" max="6"/>
    <col width="14" customWidth="1" min="7" max="7"/>
    <col width="18" customWidth="1" min="8" max="8"/>
  </cols>
  <sheetData>
    <row r="2" ht="28" customHeight="1">
      <c r="B2" s="3" t="inlineStr">
        <is>
          <t>CHANNEL STRATEGY OVERVIEW</t>
        </is>
      </c>
    </row>
    <row r="3" ht="22" customHeight="1">
      <c r="B3" s="9" t="inlineStr">
        <is>
          <t>Channel</t>
        </is>
      </c>
      <c r="C3" s="9" t="inlineStr">
        <is>
          <t>Budget %</t>
        </is>
      </c>
      <c r="D3" s="9" t="inlineStr">
        <is>
          <t>Amount</t>
        </is>
      </c>
      <c r="E3" s="9" t="inlineStr">
        <is>
          <t>Category</t>
        </is>
      </c>
      <c r="F3" s="9" t="inlineStr">
        <is>
          <t>CPC</t>
        </is>
      </c>
      <c r="G3" s="9" t="inlineStr">
        <is>
          <t>Confidence</t>
        </is>
      </c>
      <c r="H3" s="9" t="inlineStr">
        <is>
          <t>Fit</t>
        </is>
      </c>
    </row>
    <row r="4">
      <c r="B4" s="36" t="inlineStr">
        <is>
          <t>Programmatic (DSP)</t>
        </is>
      </c>
      <c r="C4" s="37" t="n">
        <v>0.281</v>
      </c>
      <c r="D4" s="38" t="n">
        <v>561772.41</v>
      </c>
      <c r="E4" s="36" t="inlineStr">
        <is>
          <t>Programmatic</t>
        </is>
      </c>
      <c r="F4" s="39" t="n">
        <v>0.23</v>
      </c>
      <c r="G4" s="36" t="inlineStr">
        <is>
          <t>Medium</t>
        </is>
      </c>
      <c r="H4" s="40" t="n">
        <v>10</v>
      </c>
    </row>
    <row r="5">
      <c r="B5" s="41" t="inlineStr">
        <is>
          <t>Global Job Boards</t>
        </is>
      </c>
      <c r="C5" s="42" t="n">
        <v>0.193</v>
      </c>
      <c r="D5" s="43" t="n">
        <v>386172.41</v>
      </c>
      <c r="E5" s="41" t="inlineStr">
        <is>
          <t>Job Boards</t>
        </is>
      </c>
      <c r="F5" s="44" t="n">
        <v>1.62</v>
      </c>
      <c r="G5" s="41" t="inlineStr">
        <is>
          <t>Medium</t>
        </is>
      </c>
      <c r="H5" s="45" t="n">
        <v>8</v>
      </c>
    </row>
    <row r="6">
      <c r="B6" s="36" t="inlineStr">
        <is>
          <t>Social Media</t>
        </is>
      </c>
      <c r="C6" s="37" t="n">
        <v>0.136</v>
      </c>
      <c r="D6" s="38" t="n">
        <v>273337.93</v>
      </c>
      <c r="E6" s="36" t="inlineStr">
        <is>
          <t>Social Media</t>
        </is>
      </c>
      <c r="F6" s="39" t="n">
        <v>2.6</v>
      </c>
      <c r="G6" s="36" t="inlineStr">
        <is>
          <t>Medium</t>
        </is>
      </c>
      <c r="H6" s="40" t="n">
        <v>1</v>
      </c>
    </row>
    <row r="7">
      <c r="B7" s="41" t="inlineStr">
        <is>
          <t>Regional Job Boards</t>
        </is>
      </c>
      <c r="C7" s="42" t="n">
        <v>0.134</v>
      </c>
      <c r="D7" s="43" t="n">
        <v>267572.41</v>
      </c>
      <c r="E7" s="41" t="inlineStr">
        <is>
          <t>Regional &amp; Local Boards</t>
        </is>
      </c>
      <c r="F7" s="44" t="n">
        <v>0.42</v>
      </c>
      <c r="G7" s="41" t="inlineStr">
        <is>
          <t>Medium</t>
        </is>
      </c>
      <c r="H7" s="45" t="n">
        <v>9</v>
      </c>
    </row>
    <row r="8">
      <c r="B8" s="36" t="inlineStr">
        <is>
          <t>APAC Regional</t>
        </is>
      </c>
      <c r="C8" s="37" t="n">
        <v>0.098</v>
      </c>
      <c r="D8" s="38" t="n">
        <v>195572.41</v>
      </c>
      <c r="E8" s="36" t="inlineStr">
        <is>
          <t>Regional &amp; Local Boards</t>
        </is>
      </c>
      <c r="F8" s="39" t="n">
        <v>0.42</v>
      </c>
      <c r="G8" s="36" t="inlineStr">
        <is>
          <t>Medium</t>
        </is>
      </c>
      <c r="H8" s="40" t="n">
        <v>9</v>
      </c>
    </row>
    <row r="9">
      <c r="B9" s="41" t="inlineStr">
        <is>
          <t>EMEA Regional</t>
        </is>
      </c>
      <c r="C9" s="42" t="n">
        <v>0.098</v>
      </c>
      <c r="D9" s="43" t="n">
        <v>195572.41</v>
      </c>
      <c r="E9" s="41" t="inlineStr">
        <is>
          <t>Regional &amp; Local Boards</t>
        </is>
      </c>
      <c r="F9" s="44" t="n">
        <v>0.42</v>
      </c>
      <c r="G9" s="41" t="inlineStr">
        <is>
          <t>Medium</t>
        </is>
      </c>
      <c r="H9" s="45" t="n">
        <v>9</v>
      </c>
    </row>
    <row r="10">
      <c r="B10" s="36" t="inlineStr">
        <is>
          <t>Niche / Industry Boards</t>
        </is>
      </c>
      <c r="C10" s="37" t="n">
        <v>0.03</v>
      </c>
      <c r="D10" s="38" t="n">
        <v>60000</v>
      </c>
      <c r="E10" s="36" t="inlineStr">
        <is>
          <t>Niche Board</t>
        </is>
      </c>
      <c r="F10" s="39" t="n">
        <v>1.4</v>
      </c>
      <c r="G10" s="36" t="inlineStr">
        <is>
          <t>Low</t>
        </is>
      </c>
      <c r="H10" s="40" t="n">
        <v>8</v>
      </c>
    </row>
    <row r="11">
      <c r="B11" s="41" t="inlineStr">
        <is>
          <t>Employer Branding</t>
        </is>
      </c>
      <c r="C11" s="42" t="n">
        <v>0.03</v>
      </c>
      <c r="D11" s="43" t="n">
        <v>60000</v>
      </c>
      <c r="E11" s="41" t="inlineStr">
        <is>
          <t>Employer Branding</t>
        </is>
      </c>
      <c r="F11" s="44" t="n">
        <v>0.9</v>
      </c>
      <c r="G11" s="41" t="inlineStr">
        <is>
          <t>Low</t>
        </is>
      </c>
      <c r="H11" s="45" t="n">
        <v>1</v>
      </c>
    </row>
    <row r="12">
      <c r="B12" s="22" t="inlineStr">
        <is>
          <t>Total</t>
        </is>
      </c>
      <c r="C12" s="23" t="n"/>
      <c r="D12" s="24">
        <f>SUM(D4:D11)</f>
        <v/>
      </c>
      <c r="E12" s="23" t="n"/>
      <c r="F12" s="23" t="n"/>
      <c r="G12" s="23" t="n"/>
      <c r="H12" s="23" t="n"/>
    </row>
    <row r="15" ht="28" customHeight="1">
      <c r="B15" s="3" t="inlineStr">
        <is>
          <t>RECOMMENDED CHANNELS (VETTED)</t>
        </is>
      </c>
    </row>
    <row r="16" ht="22" customHeight="1">
      <c r="B16" s="9" t="inlineStr">
        <is>
          <t>Channel</t>
        </is>
      </c>
      <c r="C16" s="9" t="inlineStr">
        <is>
          <t>Category</t>
        </is>
      </c>
      <c r="D16" s="9" t="inlineStr">
        <is>
          <t>Fit</t>
        </is>
      </c>
      <c r="E16" s="9" t="inlineStr">
        <is>
          <t>CPC</t>
        </is>
      </c>
      <c r="F16" s="9" t="inlineStr">
        <is>
          <t>Budget %</t>
        </is>
      </c>
      <c r="G16" s="9" t="inlineStr">
        <is>
          <t>Strategic Rationale</t>
        </is>
      </c>
      <c r="H16" s="9" t="inlineStr">
        <is>
          <t>Fit Score</t>
        </is>
      </c>
    </row>
    <row r="17">
      <c r="B17" s="36" t="inlineStr">
        <is>
          <t>Programmatic (DSP)</t>
        </is>
      </c>
      <c r="C17" s="36" t="inlineStr">
        <is>
          <t>Programmatic</t>
        </is>
      </c>
      <c r="D17" s="46" t="inlineStr">
        <is>
          <t>Excellent</t>
        </is>
      </c>
      <c r="E17" s="39" t="n">
        <v>0.23</v>
      </c>
      <c r="F17" s="37" t="n">
        <v>0.281</v>
      </c>
      <c r="G17" s="36" t="inlineStr">
        <is>
          <t>CPC £0.23; Primary channel — 28% of budget for volume; targets commercial cab driver</t>
        </is>
      </c>
      <c r="H17" s="47" t="inlineStr">
        <is>
          <t>1.00</t>
        </is>
      </c>
    </row>
    <row r="18">
      <c r="B18" s="41" t="inlineStr">
        <is>
          <t>Regional Job Boards</t>
        </is>
      </c>
      <c r="C18" s="41" t="inlineStr">
        <is>
          <t>Regional &amp; Local Boards</t>
        </is>
      </c>
      <c r="D18" s="46" t="inlineStr">
        <is>
          <t>Excellent</t>
        </is>
      </c>
      <c r="E18" s="44" t="n">
        <v>0.42</v>
      </c>
      <c r="F18" s="42" t="n">
        <v>0.134</v>
      </c>
      <c r="G18" s="41" t="inlineStr">
        <is>
          <t>CPC £0.42; Supporting channel at 13%; targets commercial cab driver</t>
        </is>
      </c>
      <c r="H18" s="47" t="inlineStr">
        <is>
          <t>0.90</t>
        </is>
      </c>
    </row>
    <row r="19">
      <c r="B19" s="36" t="inlineStr">
        <is>
          <t>APAC Regional</t>
        </is>
      </c>
      <c r="C19" s="36" t="inlineStr">
        <is>
          <t>Regional &amp; Local Boards</t>
        </is>
      </c>
      <c r="D19" s="46" t="inlineStr">
        <is>
          <t>Excellent</t>
        </is>
      </c>
      <c r="E19" s="39" t="n">
        <v>0.42</v>
      </c>
      <c r="F19" s="37" t="n">
        <v>0.098</v>
      </c>
      <c r="G19" s="36" t="inlineStr">
        <is>
          <t>CPC £0.42; Supporting channel at 10%; targets commercial cab driver</t>
        </is>
      </c>
      <c r="H19" s="47" t="inlineStr">
        <is>
          <t>0.90</t>
        </is>
      </c>
    </row>
    <row r="20">
      <c r="B20" s="41" t="inlineStr">
        <is>
          <t>EMEA Regional</t>
        </is>
      </c>
      <c r="C20" s="41" t="inlineStr">
        <is>
          <t>Regional &amp; Local Boards</t>
        </is>
      </c>
      <c r="D20" s="46" t="inlineStr">
        <is>
          <t>Excellent</t>
        </is>
      </c>
      <c r="E20" s="44" t="n">
        <v>0.42</v>
      </c>
      <c r="F20" s="42" t="n">
        <v>0.098</v>
      </c>
      <c r="G20" s="41" t="inlineStr">
        <is>
          <t>CPC £0.42; Supporting channel at 10%; targets commercial cab driver</t>
        </is>
      </c>
      <c r="H20" s="47" t="inlineStr">
        <is>
          <t>0.90</t>
        </is>
      </c>
    </row>
    <row r="21">
      <c r="B21" s="36" t="inlineStr">
        <is>
          <t>Global Job Boards</t>
        </is>
      </c>
      <c r="C21" s="36" t="inlineStr">
        <is>
          <t>Job Boards</t>
        </is>
      </c>
      <c r="D21" s="46" t="inlineStr">
        <is>
          <t>Excellent</t>
        </is>
      </c>
      <c r="E21" s="39" t="n">
        <v>1.62</v>
      </c>
      <c r="F21" s="37" t="n">
        <v>0.193</v>
      </c>
      <c r="G21" s="36" t="inlineStr">
        <is>
          <t>CPC £1.62; Primary channel — 19% of budget for volume; targets commercial cab driver</t>
        </is>
      </c>
      <c r="H21" s="47" t="inlineStr">
        <is>
          <t>0.80</t>
        </is>
      </c>
    </row>
    <row r="22">
      <c r="B22" s="41" t="inlineStr">
        <is>
          <t>Niche / Industry Boards</t>
        </is>
      </c>
      <c r="C22" s="41" t="inlineStr">
        <is>
          <t>Niche Board</t>
        </is>
      </c>
      <c r="D22" s="46" t="inlineStr">
        <is>
          <t>Excellent</t>
        </is>
      </c>
      <c r="E22" s="44" t="n">
        <v>1.4</v>
      </c>
      <c r="F22" s="42" t="n">
        <v>0.03</v>
      </c>
      <c r="G22" s="41" t="inlineStr">
        <is>
          <t>CPC £1.40; targets commercial cab driver</t>
        </is>
      </c>
      <c r="H22" s="47" t="inlineStr">
        <is>
          <t>0.80</t>
        </is>
      </c>
    </row>
    <row r="23">
      <c r="B23" s="36" t="inlineStr">
        <is>
          <t>Employer Branding</t>
        </is>
      </c>
      <c r="C23" s="36" t="inlineStr">
        <is>
          <t>Employer Branding</t>
        </is>
      </c>
      <c r="D23" s="48" t="inlineStr">
        <is>
          <t>Brand/Awareness</t>
        </is>
      </c>
      <c r="E23" s="39" t="n">
        <v>0.9</v>
      </c>
      <c r="F23" s="37" t="n">
        <v>0.03</v>
      </c>
      <c r="G23" s="36" t="inlineStr">
        <is>
          <t>CPC £0.90; targets commercial cab driver</t>
        </is>
      </c>
      <c r="H23" s="49" t="inlineStr">
        <is>
          <t>0.50</t>
        </is>
      </c>
    </row>
    <row r="24">
      <c r="B24" s="41" t="inlineStr">
        <is>
          <t>Social Media</t>
        </is>
      </c>
      <c r="C24" s="41" t="inlineStr">
        <is>
          <t>Social Media</t>
        </is>
      </c>
      <c r="D24" s="48" t="inlineStr">
        <is>
          <t>Fair</t>
        </is>
      </c>
      <c r="E24" s="44" t="n">
        <v>2.6</v>
      </c>
      <c r="F24" s="42" t="n">
        <v>0.137</v>
      </c>
      <c r="G24" s="41" t="inlineStr">
        <is>
          <t>CPC £2.60; Supporting channel at 14%; targets commercial cab driver</t>
        </is>
      </c>
      <c r="H24" s="50" t="inlineStr">
        <is>
          <t>0.10</t>
        </is>
      </c>
    </row>
    <row r="27" ht="28" customHeight="1">
      <c r="B27" s="3" t="inlineStr">
        <is>
          <t>AD PLATFORM ANALYSIS</t>
        </is>
      </c>
    </row>
    <row r="28" ht="22" customHeight="1">
      <c r="B28" s="9" t="inlineStr">
        <is>
          <t>Platform</t>
        </is>
      </c>
      <c r="C28" s="9" t="inlineStr">
        <is>
          <t>CPC</t>
        </is>
      </c>
      <c r="D28" s="9" t="inlineStr">
        <is>
          <t>CPM</t>
        </is>
      </c>
      <c r="E28" s="9" t="inlineStr">
        <is>
          <t>CPA</t>
        </is>
      </c>
      <c r="F28" s="9" t="inlineStr">
        <is>
          <t>Fit Score</t>
        </is>
      </c>
    </row>
    <row r="29">
      <c r="B29" s="36" t="inlineStr">
        <is>
          <t>Google Ads</t>
        </is>
      </c>
      <c r="C29" s="39" t="n">
        <v>2.9</v>
      </c>
      <c r="D29" s="39" t="n">
        <v>3.12</v>
      </c>
      <c r="E29" s="39" t="n">
        <v>48.96</v>
      </c>
      <c r="F29" s="49" t="inlineStr">
        <is>
          <t>0.60</t>
        </is>
      </c>
    </row>
    <row r="30">
      <c r="B30" s="41" t="inlineStr">
        <is>
          <t>Meta (Facebook/Instagram)</t>
        </is>
      </c>
      <c r="C30" s="44" t="n">
        <v>1.86</v>
      </c>
      <c r="D30" s="44" t="n">
        <v>7.19</v>
      </c>
      <c r="E30" s="44" t="n">
        <v>18.68</v>
      </c>
      <c r="F30" s="47" t="inlineStr">
        <is>
          <t>0.90</t>
        </is>
      </c>
    </row>
    <row r="31">
      <c r="B31" s="36" t="inlineStr">
        <is>
          <t>LinkedIn Ads</t>
        </is>
      </c>
      <c r="C31" s="39" t="n">
        <v>2.6</v>
      </c>
      <c r="D31" s="39" t="n">
        <v>6.59</v>
      </c>
      <c r="E31" s="39" t="n">
        <v>56.08</v>
      </c>
      <c r="F31" s="50" t="inlineStr">
        <is>
          <t>0.10</t>
        </is>
      </c>
    </row>
    <row r="32">
      <c r="B32" s="41" t="inlineStr">
        <is>
          <t>TikTok Ads</t>
        </is>
      </c>
      <c r="C32" s="44" t="n">
        <v>1</v>
      </c>
      <c r="D32" s="44" t="n">
        <v>10</v>
      </c>
      <c r="E32" s="44" t="n">
        <v>20</v>
      </c>
      <c r="F32" s="47" t="inlineStr">
        <is>
          <t>1.00</t>
        </is>
      </c>
    </row>
    <row r="33">
      <c r="B33" s="36" t="inlineStr">
        <is>
          <t>Microsoft/Bing Ads</t>
        </is>
      </c>
      <c r="C33" s="39" t="n">
        <v>1.54</v>
      </c>
      <c r="D33" s="39" t="n">
        <v>2</v>
      </c>
      <c r="E33" s="39" t="n">
        <v>41.44</v>
      </c>
      <c r="F33" s="50" t="inlineStr">
        <is>
          <t>0.30</t>
        </is>
      </c>
    </row>
    <row r="34">
      <c r="B34" s="41" t="inlineStr">
        <is>
          <t>Snapchat Ads</t>
        </is>
      </c>
      <c r="C34" s="44" t="n">
        <v>1.3</v>
      </c>
      <c r="D34" s="44" t="n">
        <v>2.95</v>
      </c>
      <c r="E34" s="44" t="n">
        <v>22</v>
      </c>
      <c r="F34" s="47" t="inlineStr">
        <is>
          <t>0.80</t>
        </is>
      </c>
    </row>
    <row r="35">
      <c r="B35" s="36" t="inlineStr">
        <is>
          <t>X (Twitter) Ads</t>
        </is>
      </c>
      <c r="C35" s="39" t="n">
        <v>1.35</v>
      </c>
      <c r="D35" s="39" t="n">
        <v>6.46</v>
      </c>
      <c r="E35" s="39" t="n">
        <v>28</v>
      </c>
      <c r="F35" s="50" t="inlineStr">
        <is>
          <t>0.20</t>
        </is>
      </c>
    </row>
    <row r="36">
      <c r="B36" s="41" t="inlineStr">
        <is>
          <t>Programmatic Display (DSP)</t>
        </is>
      </c>
      <c r="C36" s="44" t="n">
        <v>0.63</v>
      </c>
      <c r="D36" s="44" t="n">
        <v>2.8</v>
      </c>
      <c r="E36" s="44" t="n">
        <v>15</v>
      </c>
      <c r="F36" s="47" t="inlineStr">
        <is>
          <t>0.70</t>
        </is>
      </c>
    </row>
    <row r="37">
      <c r="B37" s="36" t="inlineStr">
        <is>
          <t>Roku/CTV Advertising</t>
        </is>
      </c>
      <c r="C37" s="39" t="n">
        <v>0</v>
      </c>
      <c r="D37" s="39" t="n">
        <v>25</v>
      </c>
      <c r="E37" s="39" t="n">
        <v>45</v>
      </c>
      <c r="F37" s="49" t="inlineStr">
        <is>
          <t>0.40</t>
        </is>
      </c>
    </row>
    <row r="38">
      <c r="B38" s="41" t="inlineStr">
        <is>
          <t>Spotify Audio Ads</t>
        </is>
      </c>
      <c r="C38" s="44" t="n">
        <v>0</v>
      </c>
      <c r="D38" s="44" t="n">
        <v>15</v>
      </c>
      <c r="E38" s="44" t="n">
        <v>35</v>
      </c>
      <c r="F38" s="49" t="inlineStr">
        <is>
          <t>0.60</t>
        </is>
      </c>
    </row>
    <row r="39">
      <c r="B39" s="36" t="inlineStr">
        <is>
          <t>Reddit Ads</t>
        </is>
      </c>
      <c r="C39" s="39" t="n">
        <v>0.75</v>
      </c>
      <c r="D39" s="39" t="n">
        <v>3.5</v>
      </c>
      <c r="E39" s="39" t="n">
        <v>25</v>
      </c>
      <c r="F39" s="50" t="inlineStr">
        <is>
          <t>0.30</t>
        </is>
      </c>
    </row>
    <row r="40">
      <c r="B40" s="41" t="inlineStr">
        <is>
          <t>Indeed Sponsored Jobs</t>
        </is>
      </c>
      <c r="C40" s="44" t="n">
        <v>1.62</v>
      </c>
      <c r="D40" s="44" t="n">
        <v>0</v>
      </c>
      <c r="E40" s="44" t="n">
        <v>22</v>
      </c>
      <c r="F40" s="47" t="inlineStr">
        <is>
          <t>1.00</t>
        </is>
      </c>
    </row>
    <row r="41">
      <c r="B41" s="36" t="inlineStr">
        <is>
          <t>ZipRecruiter Sponsored</t>
        </is>
      </c>
      <c r="C41" s="39" t="n">
        <v>1.5</v>
      </c>
      <c r="D41" s="39" t="n">
        <v>0</v>
      </c>
      <c r="E41" s="39" t="n">
        <v>28</v>
      </c>
      <c r="F41" s="47" t="inlineStr">
        <is>
          <t>1.00</t>
        </is>
      </c>
    </row>
    <row r="44" ht="28" customHeight="1">
      <c r="B44" s="3" t="inlineStr">
        <is>
          <t>NICHE CHANNELS: HOSPITALITY &amp; TRAVEL</t>
        </is>
      </c>
    </row>
    <row r="45">
      <c r="B45" s="7" t="inlineStr">
        <is>
          <t>Note</t>
        </is>
      </c>
      <c r="D45" s="8" t="inlineStr">
        <is>
          <t>US-domiciled niche boards for this industry are not shown because this plan targets a non-US market. Local specialty board data was not available for this campaign; consult the Intl Benchmarks sheet and regional job boards for this market.</t>
        </is>
      </c>
    </row>
    <row r="48">
      <c r="B48" s="2" t="inlineStr">
        <is>
          <t>Generated by Nova AI Media Plan Generator | July 23, 2026 | Created by Shubham Singh Chandel | Joveo Global Supply Team</t>
        </is>
      </c>
    </row>
  </sheetData>
  <mergeCells count="7">
    <mergeCell ref="D45:H45"/>
    <mergeCell ref="B27:H27"/>
    <mergeCell ref="B44:H44"/>
    <mergeCell ref="B45:C45"/>
    <mergeCell ref="B2:H2"/>
    <mergeCell ref="B48:H48"/>
    <mergeCell ref="B15:H15"/>
  </mergeCells>
  <conditionalFormatting sqref="D4:D11">
    <cfRule type="dataBar" priority="1">
      <dataBar showValue="1">
        <cfvo type="min"/>
        <cfvo type="max"/>
        <color rgb="005A54BE"/>
      </dataBar>
    </cfRule>
  </conditionalFormatting>
  <pageMargins left="0.75" right="0.75" top="1" bottom="1" header="0.5" footer="0.5"/>
</worksheet>
</file>

<file path=xl/worksheets/sheet3.xml><?xml version="1.0" encoding="utf-8"?>
<worksheet xmlns="http://schemas.openxmlformats.org/spreadsheetml/2006/main">
  <sheetPr>
    <tabColor rgb="006BB5CE"/>
    <outlinePr summaryBelow="1" summaryRight="1"/>
    <pageSetUpPr/>
  </sheetPr>
  <dimension ref="B2:H174"/>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16" customWidth="1" min="3" max="3"/>
    <col width="16" customWidth="1" min="4" max="4"/>
    <col width="14" customWidth="1" min="5" max="5"/>
    <col width="14" customWidth="1" min="6" max="6"/>
    <col width="14" customWidth="1" min="7" max="7"/>
    <col width="18" customWidth="1" min="8" max="8"/>
  </cols>
  <sheetData>
    <row r="2" ht="28" customHeight="1">
      <c r="B2" s="3" t="inlineStr">
        <is>
          <t>LABOUR MARKET OVERVIEW</t>
        </is>
      </c>
    </row>
    <row r="3" ht="22" customHeight="1">
      <c r="B3" s="29" t="inlineStr">
        <is>
          <t>National Economic Snapshot</t>
        </is>
      </c>
    </row>
    <row r="5" ht="22" customHeight="1">
      <c r="B5" s="29" t="inlineStr">
        <is>
          <t>Industry Metrics: Hospitality &amp; Travel</t>
        </is>
      </c>
    </row>
    <row r="6">
      <c r="B6" s="7" t="inlineStr">
        <is>
          <t>Sector Name</t>
        </is>
      </c>
      <c r="D6" s="8" t="inlineStr">
        <is>
          <t>General / Entry-Level &amp; Hourly Workforce</t>
        </is>
      </c>
    </row>
    <row r="7">
      <c r="B7" s="7" t="inlineStr">
        <is>
          <t>Bls Sector Code</t>
        </is>
      </c>
      <c r="D7" s="8" t="inlineStr">
        <is>
          <t>Cross-sector (Retail 44-45, Accommodation/Food 72, Admin/Support 56)</t>
        </is>
      </c>
    </row>
    <row r="8">
      <c r="B8" s="7" t="inlineStr">
        <is>
          <t>Total Employment Us</t>
        </is>
      </c>
      <c r="D8" s="8" t="inlineStr">
        <is>
          <t>45M+ (hourly/frontline workers)</t>
        </is>
      </c>
    </row>
    <row r="9">
      <c r="B9" s="7" t="inlineStr">
        <is>
          <t>Projected Growth 2024 2034</t>
        </is>
      </c>
      <c r="D9" s="8" t="inlineStr">
        <is>
          <t>+4.0% (in line with average)</t>
        </is>
      </c>
    </row>
    <row r="10">
      <c r="B10" s="7" t="inlineStr">
        <is>
          <t>Annual Openings</t>
        </is>
      </c>
      <c r="D10" s="8" t="inlineStr">
        <is>
          <t>~6.5M (highest turnover sector)</t>
        </is>
      </c>
    </row>
    <row r="11">
      <c r="B11" s="7" t="inlineStr">
        <is>
          <t>Median Annual Wage</t>
        </is>
      </c>
      <c r="D11" s="8" t="inlineStr">
        <is>
          <t>$35,070 (food service) / $33,680 (retail) / $38,560 (admin support)</t>
        </is>
      </c>
    </row>
    <row r="12">
      <c r="B12" s="7" t="inlineStr">
        <is>
          <t>Job Openings Rate Jolts</t>
        </is>
      </c>
      <c r="D12" s="8" t="inlineStr">
        <is>
          <t>7.1% (highest across all sectors)</t>
        </is>
      </c>
    </row>
    <row r="13">
      <c r="B13" s="7" t="inlineStr">
        <is>
          <t>Quits Rate Jolts</t>
        </is>
      </c>
      <c r="D13" s="8" t="inlineStr">
        <is>
          <t>4.1% (highest voluntary turnover sector)</t>
        </is>
      </c>
    </row>
    <row r="14">
      <c r="B14" s="7" t="inlineStr">
        <is>
          <t>Hires Rate Jolts</t>
        </is>
      </c>
      <c r="D14" s="8" t="inlineStr">
        <is>
          <t>6.8%</t>
        </is>
      </c>
    </row>
    <row r="15">
      <c r="B15" s="7" t="inlineStr">
        <is>
          <t>Layoffs Rate Jolts</t>
        </is>
      </c>
      <c r="D15" s="8" t="inlineStr">
        <is>
          <t>0.9%</t>
        </is>
      </c>
    </row>
    <row r="16">
      <c r="B16" s="7" t="inlineStr">
        <is>
          <t>Vacancy Fill Time Avg</t>
        </is>
      </c>
      <c r="D16" s="8" t="inlineStr">
        <is>
          <t>18 days (fastest fill rates but highest re-vacancy)</t>
        </is>
      </c>
    </row>
    <row r="17">
      <c r="B17" s="7" t="inlineStr">
        <is>
          <t>Talent Shortage Severity</t>
        </is>
      </c>
      <c r="D17" s="8" t="inlineStr">
        <is>
          <t>MODERATE-HIGH — Not a skills shortage but a wage/conditions shortage; 65% of hourly workers cite pay as top concern</t>
        </is>
      </c>
    </row>
    <row r="18">
      <c r="B18" s="7" t="inlineStr">
        <is>
          <t>Key Trends</t>
        </is>
      </c>
      <c r="D18" s="8" t="inlineStr">
        <is>
          <t>Federal minimum wage debate continues ($7.25 federal vs. $15+ in 30 states), Average fast food/retail starting wage now $15.35/hr (up 25% since 2020), Scheduling flexibility now #2 retention factor after pay, Gig economy capturing 36% of working-age adults in some capacity, Gen Z entering workforce — prioritize purpose, flexibility, mental health support, Automation threatening 25% of current entry-level roles by 2030 (self-checkout, chatbots, kiosks)</t>
        </is>
      </c>
    </row>
    <row r="19">
      <c r="B19" s="7" t="inlineStr">
        <is>
          <t>Wage Growth Yoy</t>
        </is>
      </c>
      <c r="D19" s="8" t="inlineStr">
        <is>
          <t>+4.9% (entry-level wages outpacing salaried growth)</t>
        </is>
      </c>
    </row>
    <row r="20">
      <c r="B20" s="7" t="inlineStr">
        <is>
          <t>Unionization Rate</t>
        </is>
      </c>
      <c r="D20" s="8" t="inlineStr">
        <is>
          <t>4.2% (retail) / 1.2% (food service)</t>
        </is>
      </c>
    </row>
    <row r="21">
      <c r="B21" s="7" t="inlineStr">
        <is>
          <t>Remote Work Pct</t>
        </is>
      </c>
      <c r="D21" s="8" t="inlineStr">
        <is>
          <t>5% (primarily customer service/admin)</t>
        </is>
      </c>
    </row>
    <row r="23" ht="22" customHeight="1">
      <c r="B23" s="29" t="inlineStr">
        <is>
          <t>Location Economic Context</t>
        </is>
      </c>
    </row>
    <row r="24" ht="22" customHeight="1">
      <c r="B24" s="9" t="inlineStr">
        <is>
          <t>Location</t>
        </is>
      </c>
      <c r="C24" s="9" t="inlineStr">
        <is>
          <t>Country</t>
        </is>
      </c>
      <c r="D24" s="9" t="inlineStr">
        <is>
          <t>Unemployment</t>
        </is>
      </c>
      <c r="E24" s="9" t="inlineStr">
        <is>
          <t>Median Salary</t>
        </is>
      </c>
      <c r="F24" s="9" t="inlineStr">
        <is>
          <t>Context</t>
        </is>
      </c>
    </row>
    <row r="25">
      <c r="B25" s="36" t="inlineStr">
        <is>
          <t>UK</t>
        </is>
      </c>
      <c r="C25" s="36" t="inlineStr">
        <is>
          <t>United Kingdom</t>
        </is>
      </c>
      <c r="D25" s="36" t="inlineStr">
        <is>
          <t>4.2%</t>
        </is>
      </c>
      <c r="E25" s="36" t="inlineStr">
        <is>
          <t>$42,000 (GBP)</t>
        </is>
      </c>
      <c r="F25" s="36" t="inlineStr">
        <is>
          <t>International market — United Kingdom in Europe region. Local labour laws and…</t>
        </is>
      </c>
    </row>
    <row r="26">
      <c r="B26" s="41" t="inlineStr">
        <is>
          <t>Australia</t>
        </is>
      </c>
      <c r="C26" s="41" t="inlineStr">
        <is>
          <t>Australia</t>
        </is>
      </c>
      <c r="D26" s="41" t="inlineStr">
        <is>
          <t>3.7%</t>
        </is>
      </c>
      <c r="E26" s="41" t="inlineStr">
        <is>
          <t>$55,000 (AUD)</t>
        </is>
      </c>
      <c r="F26" s="41" t="inlineStr">
        <is>
          <t>International market — Australia in APAC region. Local labour laws and…</t>
        </is>
      </c>
    </row>
    <row r="27">
      <c r="B27" s="36" t="inlineStr">
        <is>
          <t>Mexico</t>
        </is>
      </c>
      <c r="C27" s="36" t="inlineStr">
        <is>
          <t>Mexico</t>
        </is>
      </c>
      <c r="D27" s="36" t="inlineStr">
        <is>
          <t>2.8%</t>
        </is>
      </c>
      <c r="E27" s="36" t="inlineStr">
        <is>
          <t>$9,500 (MXN)</t>
        </is>
      </c>
      <c r="F27" s="36" t="inlineStr">
        <is>
          <t>International market — Mexico in LATAM region. Local labour laws and…</t>
        </is>
      </c>
    </row>
    <row r="28">
      <c r="B28" s="41" t="inlineStr">
        <is>
          <t>argentina</t>
        </is>
      </c>
      <c r="C28" s="41" t="inlineStr">
        <is>
          <t>Argentina</t>
        </is>
      </c>
      <c r="D28" s="41" t="inlineStr">
        <is>
          <t>6.3%</t>
        </is>
      </c>
      <c r="E28" s="41" t="inlineStr">
        <is>
          <t>$8,000 (ARS)</t>
        </is>
      </c>
      <c r="F28" s="41" t="inlineStr">
        <is>
          <t>International market — Argentina in LATAM region. Local labour laws and…</t>
        </is>
      </c>
    </row>
    <row r="29">
      <c r="B29" s="36" t="inlineStr">
        <is>
          <t>canada</t>
        </is>
      </c>
      <c r="C29" s="36" t="inlineStr">
        <is>
          <t>Canada</t>
        </is>
      </c>
      <c r="D29" s="36" t="inlineStr">
        <is>
          <t>5.4%</t>
        </is>
      </c>
      <c r="E29" s="36" t="inlineStr">
        <is>
          <t>$52,000 (CAD)</t>
        </is>
      </c>
      <c r="F29" s="36" t="inlineStr">
        <is>
          <t>International market — Canada in North America region. Local labour laws and…</t>
        </is>
      </c>
    </row>
    <row r="30">
      <c r="B30" s="41" t="inlineStr">
        <is>
          <t>new zealand</t>
        </is>
      </c>
      <c r="C30" s="41" t="inlineStr">
        <is>
          <t>New Zealand</t>
        </is>
      </c>
      <c r="D30" s="41" t="inlineStr">
        <is>
          <t>3.4%</t>
        </is>
      </c>
      <c r="E30" s="41" t="inlineStr">
        <is>
          <t>$48,000 (NZD)</t>
        </is>
      </c>
      <c r="F30" s="41" t="inlineStr">
        <is>
          <t>International market — New Zealand in APAC region. Local labour laws and…</t>
        </is>
      </c>
    </row>
    <row r="33" ht="28" customHeight="1">
      <c r="B33" s="3" t="inlineStr">
        <is>
          <t>LOCATION INTELLIGENCE</t>
        </is>
      </c>
    </row>
    <row r="34" ht="22" customHeight="1">
      <c r="B34" s="9" t="inlineStr">
        <is>
          <t>Location</t>
        </is>
      </c>
      <c r="C34" s="9" t="inlineStr">
        <is>
          <t>Country</t>
        </is>
      </c>
      <c r="D34" s="9" t="inlineStr">
        <is>
          <t>Why This Market</t>
        </is>
      </c>
    </row>
    <row r="35">
      <c r="B35" s="36" t="inlineStr">
        <is>
          <t>UK</t>
        </is>
      </c>
      <c r="C35" s="36" t="inlineStr">
        <is>
          <t>United States</t>
        </is>
      </c>
      <c r="D35" s="36" t="inlineStr">
        <is>
          <t>UK was selected by client footprint.</t>
        </is>
      </c>
    </row>
    <row r="36">
      <c r="B36" s="41" t="inlineStr">
        <is>
          <t>Australia</t>
        </is>
      </c>
      <c r="C36" s="41" t="inlineStr">
        <is>
          <t>United States</t>
        </is>
      </c>
      <c r="D36" s="41" t="inlineStr">
        <is>
          <t>Australia was selected by client footprint.</t>
        </is>
      </c>
    </row>
    <row r="37">
      <c r="B37" s="36" t="inlineStr">
        <is>
          <t>Mexico</t>
        </is>
      </c>
      <c r="C37" s="36" t="inlineStr">
        <is>
          <t>United States</t>
        </is>
      </c>
      <c r="D37" s="36" t="inlineStr">
        <is>
          <t>Mexico was selected by client footprint.</t>
        </is>
      </c>
    </row>
    <row r="38">
      <c r="B38" s="41" t="inlineStr">
        <is>
          <t>argentina</t>
        </is>
      </c>
      <c r="C38" s="41" t="inlineStr">
        <is>
          <t>United States</t>
        </is>
      </c>
      <c r="D38" s="41" t="inlineStr">
        <is>
          <t>argentina was selected by client footprint.</t>
        </is>
      </c>
    </row>
    <row r="39">
      <c r="B39" s="36" t="inlineStr">
        <is>
          <t>canada</t>
        </is>
      </c>
      <c r="C39" s="36" t="inlineStr">
        <is>
          <t>United States</t>
        </is>
      </c>
      <c r="D39" s="36" t="inlineStr">
        <is>
          <t>canada was selected by client footprint.</t>
        </is>
      </c>
    </row>
    <row r="40">
      <c r="B40" s="41" t="inlineStr">
        <is>
          <t>new zealand</t>
        </is>
      </c>
      <c r="C40" s="41" t="inlineStr">
        <is>
          <t>United States</t>
        </is>
      </c>
      <c r="D40" s="41" t="inlineStr">
        <is>
          <t>new zealand was selected by client footprint.</t>
        </is>
      </c>
    </row>
    <row r="42" ht="22" customHeight="1">
      <c r="B42" s="29" t="inlineStr">
        <is>
          <t>Macro Economic Context</t>
        </is>
      </c>
    </row>
    <row r="43">
      <c r="B43" s="7" t="inlineStr">
        <is>
          <t>Unemployment Rate</t>
        </is>
      </c>
      <c r="D43" s="8" t="inlineStr">
        <is>
          <t>4.4%</t>
        </is>
      </c>
    </row>
    <row r="44">
      <c r="B44" s="7" t="inlineStr">
        <is>
          <t>Job Openings (000s)</t>
        </is>
      </c>
      <c r="D44" s="8" t="inlineStr">
        <is>
          <t>6,882</t>
        </is>
      </c>
    </row>
    <row r="45">
      <c r="B45" s="7" t="inlineStr">
        <is>
          <t>Avg Hourly Earnings (USD)</t>
        </is>
      </c>
      <c r="D45" s="8" t="inlineStr">
        <is>
          <t>$37.32</t>
        </is>
      </c>
    </row>
    <row r="46">
      <c r="B46" s="7" t="inlineStr">
        <is>
          <t>Fed Funds Rate</t>
        </is>
      </c>
      <c r="D46" s="8" t="inlineStr">
        <is>
          <t>3.64%</t>
        </is>
      </c>
    </row>
    <row r="47">
      <c r="B47" s="7" t="inlineStr">
        <is>
          <t>CPI Index</t>
        </is>
      </c>
      <c r="D47" s="8" t="inlineStr">
        <is>
          <t>327.46</t>
        </is>
      </c>
    </row>
    <row r="50" ht="28" customHeight="1">
      <c r="B50" s="3" t="inlineStr">
        <is>
          <t>COMPETITIVE LANDSCAPE</t>
        </is>
      </c>
    </row>
    <row r="51" ht="22" customHeight="1">
      <c r="B51" s="29" t="inlineStr">
        <is>
          <t>Company Profile: Uber</t>
        </is>
      </c>
    </row>
    <row r="52">
      <c r="B52" s="7" t="inlineStr">
        <is>
          <t>Company Name</t>
        </is>
      </c>
      <c r="D52" s="8" t="inlineStr">
        <is>
          <t>Uber</t>
        </is>
      </c>
    </row>
    <row r="53">
      <c r="B53" s="7" t="inlineStr">
        <is>
          <t>Name</t>
        </is>
      </c>
      <c r="D53" s="8" t="inlineStr">
        <is>
          <t>uber</t>
        </is>
      </c>
    </row>
    <row r="55" ht="22" customHeight="1">
      <c r="B55" s="29" t="inlineStr">
        <is>
          <t>Competitor Analysis</t>
        </is>
      </c>
    </row>
    <row r="56" ht="22" customHeight="1">
      <c r="B56" s="9" t="inlineStr">
        <is>
          <t>Name</t>
        </is>
      </c>
      <c r="C56" s="9" t="inlineStr">
        <is>
          <t>Industry</t>
        </is>
      </c>
      <c r="D56" s="9" t="inlineStr">
        <is>
          <t>Hiring Activity</t>
        </is>
      </c>
      <c r="E56" s="9" t="inlineStr">
        <is>
          <t>Counter-Strategy</t>
        </is>
      </c>
    </row>
    <row r="57">
      <c r="B57" s="36" t="inlineStr">
        <is>
          <t>Marriott</t>
        </is>
      </c>
      <c r="C57" s="36" t="inlineStr">
        <is>
          <t>Hospitality &amp; Travel</t>
        </is>
      </c>
      <c r="D57" s="36" t="inlineStr">
        <is>
          <t>Active (est.)</t>
        </is>
      </c>
      <c r="E57" s="36" t="inlineStr">
        <is>
          <t>Marriott is actively competing for commercial cab driver candidates in UK -- sharpen offer cadence and speed-to-contact to stay ahead of it.</t>
        </is>
      </c>
    </row>
    <row r="58">
      <c r="B58" s="41" t="inlineStr">
        <is>
          <t>Hilton</t>
        </is>
      </c>
      <c r="C58" s="41" t="inlineStr">
        <is>
          <t>Hospitality &amp; Travel</t>
        </is>
      </c>
      <c r="D58" s="41" t="inlineStr">
        <is>
          <t>Active (est.)</t>
        </is>
      </c>
      <c r="E58" s="41" t="inlineStr">
        <is>
          <t>Expect Hilton to keep pressure on commercial cab driver candidates in UK; a faster interview-to-offer cycle is the clearest lever to counter it.</t>
        </is>
      </c>
    </row>
    <row r="59">
      <c r="B59" s="36" t="inlineStr">
        <is>
          <t>Hyatt</t>
        </is>
      </c>
      <c r="C59" s="36" t="inlineStr">
        <is>
          <t>Hospitality &amp; Travel</t>
        </is>
      </c>
      <c r="D59" s="36" t="inlineStr">
        <is>
          <t>Active (est.)</t>
        </is>
      </c>
      <c r="E59" s="36" t="inlineStr">
        <is>
          <t>Hyatt's presence in this pool means commercial cab driver candidates in UK have options -- lead with total-comp clarity and a same-week interview slot.</t>
        </is>
      </c>
    </row>
    <row r="60">
      <c r="B60" s="41" t="inlineStr">
        <is>
          <t>IHG</t>
        </is>
      </c>
      <c r="C60" s="41" t="inlineStr">
        <is>
          <t>Hospitality &amp; Travel</t>
        </is>
      </c>
      <c r="D60" s="41" t="inlineStr">
        <is>
          <t>Active (est.)</t>
        </is>
      </c>
      <c r="E60" s="41" t="inlineStr">
        <is>
          <t>To out-compete IHG for commercial cab driver candidates in UK, tighten the funnel: pre-screened shortlists and a 48-hour offer turnaround.</t>
        </is>
      </c>
    </row>
    <row r="61">
      <c r="B61" s="36" t="inlineStr">
        <is>
          <t>Airbnb</t>
        </is>
      </c>
      <c r="C61" s="36" t="inlineStr">
        <is>
          <t>Hospitality &amp; Travel</t>
        </is>
      </c>
      <c r="D61" s="36" t="inlineStr">
        <is>
          <t>Active (est.)</t>
        </is>
      </c>
      <c r="E61" s="36" t="inlineStr">
        <is>
          <t>Airbnb is a known name to commercial cab driver candidates in UK in this market -- a specific, verifiable comp figure beats a generic brand impression.</t>
        </is>
      </c>
    </row>
    <row r="63" ht="22" customHeight="1">
      <c r="B63" s="29" t="inlineStr">
        <is>
          <t>Market Positioning</t>
        </is>
      </c>
    </row>
    <row r="64">
      <c r="B64" s="51" t="inlineStr">
        <is>
          <t>Industry Sector: Hospitality &amp; Travel; Is Public Company: No; Competitor Count: 0; Has Sec Filings: No</t>
        </is>
      </c>
    </row>
    <row r="67" ht="28" customHeight="1">
      <c r="B67" s="3" t="inlineStr">
        <is>
          <t>SALARY INTELLIGENCE</t>
        </is>
      </c>
    </row>
    <row r="68" ht="22" customHeight="1">
      <c r="B68" s="9" t="inlineStr">
        <is>
          <t>Role</t>
        </is>
      </c>
      <c r="C68" s="9" t="inlineStr">
        <is>
          <t>Min</t>
        </is>
      </c>
      <c r="D68" s="9" t="inlineStr">
        <is>
          <t>P25</t>
        </is>
      </c>
      <c r="E68" s="9" t="inlineStr">
        <is>
          <t>Median</t>
        </is>
      </c>
      <c r="F68" s="9" t="inlineStr">
        <is>
          <t>P75</t>
        </is>
      </c>
      <c r="G68" s="9" t="inlineStr">
        <is>
          <t>Max</t>
        </is>
      </c>
      <c r="H68" s="9" t="inlineStr">
        <is>
          <t>Confidence</t>
        </is>
      </c>
    </row>
    <row r="69">
      <c r="B69" s="36" t="inlineStr">
        <is>
          <t>commercial cab driver</t>
        </is>
      </c>
      <c r="C69" s="36" t="inlineStr">
        <is>
          <t>£38,000</t>
        </is>
      </c>
      <c r="D69" s="36" t="inlineStr">
        <is>
          <t>£45,000</t>
        </is>
      </c>
      <c r="E69" s="36" t="inlineStr">
        <is>
          <t>£52,000</t>
        </is>
      </c>
      <c r="F69" s="36" t="inlineStr">
        <is>
          <t>£62,000</t>
        </is>
      </c>
      <c r="G69" s="36" t="inlineStr">
        <is>
          <t>£78,000</t>
        </is>
      </c>
      <c r="H69" s="52" t="inlineStr">
        <is>
          <t>50%</t>
        </is>
      </c>
    </row>
    <row r="70">
      <c r="B70" s="2" t="inlineStr">
        <is>
          <t>Sources: Industry Benchmark</t>
        </is>
      </c>
    </row>
    <row r="73" ht="28" customHeight="1">
      <c r="B73" s="3" t="inlineStr">
        <is>
          <t>MARKET DEMAND BY ROLE</t>
        </is>
      </c>
    </row>
    <row r="74" ht="22" customHeight="1">
      <c r="B74" s="9" t="inlineStr">
        <is>
          <t>Role</t>
        </is>
      </c>
      <c r="C74" s="9" t="inlineStr">
        <is>
          <t>Postings</t>
        </is>
      </c>
      <c r="D74" s="9" t="inlineStr">
        <is>
          <t>Talent Pool</t>
        </is>
      </c>
      <c r="E74" s="9" t="inlineStr">
        <is>
          <t>Competition</t>
        </is>
      </c>
      <c r="F74" s="9" t="inlineStr">
        <is>
          <t>Temperature</t>
        </is>
      </c>
      <c r="G74" s="9" t="inlineStr">
        <is>
          <t>Trend</t>
        </is>
      </c>
      <c r="H74" s="9" t="inlineStr">
        <is>
          <t>Search Interest</t>
        </is>
      </c>
    </row>
    <row r="75">
      <c r="B75" s="36" t="inlineStr">
        <is>
          <t>commercial cab driver</t>
        </is>
      </c>
      <c r="C75" s="36" t="inlineStr">
        <is>
          <t>Data not available</t>
        </is>
      </c>
      <c r="D75" s="36" t="inlineStr">
        <is>
          <t>3,500,000</t>
        </is>
      </c>
      <c r="E75" s="36" t="inlineStr"/>
      <c r="F75" s="36" t="inlineStr">
        <is>
          <t>hot</t>
        </is>
      </c>
      <c r="G75" s="36" t="inlineStr">
        <is>
          <t>Growing (+10% YoY)</t>
        </is>
      </c>
      <c r="H75" s="36" t="inlineStr">
        <is>
          <t>—</t>
        </is>
      </c>
    </row>
    <row r="78" ht="28" customHeight="1">
      <c r="B78" s="3" t="inlineStr">
        <is>
          <t>WORKFORCE TRENDS</t>
        </is>
      </c>
    </row>
    <row r="79" ht="22" customHeight="1">
      <c r="B79" s="29" t="inlineStr">
        <is>
          <t>Gen Z Insights</t>
        </is>
      </c>
    </row>
    <row r="80">
      <c r="B80" s="7" t="inlineStr">
        <is>
          <t>Workforce Share</t>
        </is>
      </c>
      <c r="D80" s="8" t="inlineStr">
        <is>
          <t>Current Percentage: Approximately 30% of world population; Projected Workforce Share 2026: 27% of the workforce by 2026; Projected Workforce Share 2030: 30% of the U.S. workforce by 2030</t>
        </is>
      </c>
    </row>
    <row r="81">
      <c r="B81" s="7" t="inlineStr">
        <is>
          <t>Job Search Platforms</t>
        </is>
      </c>
      <c r="D81" s="8" t="inlineStr">
        <is>
          <t>Tiktok: Usage Rate: 22.1% of Gen Z use TikTok as a job search tool; Job Secured Via Tiktok: 46% have secured a job or internship through TikTok; Interview Sourcing: 20% of Gen Z candidates get interviews directly thanks to TikTok; Trust For Career Advice: 92% trust TikTok for career advice; Misleading Advice Acknowledgment: 55% admit to following misleading advice on TikTok; Career Decisions Influenced: 41% have made career-related decisions based on TikTok advice; Year Over Year Growth: Job ad engagement on TikTok grew 63% (from 8% in 2024 to 13% in 2025); Instagram: Career Content Reliance: 76% rely on Instagram for career content; Job Secured Via Instagram: 64% have secured a job or internship via Instagram; Year Over Year Growth: Job ad engagement grew 33% (from 12% in 2024 to 16% in 2025); Linkedin: Usage Rate: 20.8% of Gen Z use LinkedIn as job search tool (lower than TikTok); Note: TikTok has overtaken LinkedIn among Gen Z for job searching; Youtube: Year Over Year Growth: Job ad engagement grew 35% (from 14% in 2024 to 19% in 2025); X Formerly Twitter: Job Secured Rate: 56% have secured a job through X</t>
        </is>
      </c>
    </row>
    <row r="82">
      <c r="B82" s="7" t="inlineStr">
        <is>
          <t>Mobile Vs Desktop</t>
        </is>
      </c>
      <c r="D82" s="8" t="inlineStr">
        <is>
          <t>Discovery: Gen Z discovers jobs on mobile, job boards, and social media; Applications: 75% switch to desktop for formal job applications; Desktop Trend: Desktop use for job applications grew from 54% (2023) to 65% (2025); Note: Despite being mobile-first, Gen Z prefers desktop for completing applications</t>
        </is>
      </c>
    </row>
    <row r="83">
      <c r="B83" s="7" t="inlineStr">
        <is>
          <t>Social Media Habits</t>
        </is>
      </c>
      <c r="D83" s="8" t="inlineStr">
        <is>
          <t>Daily Usage: 54% spend 4+ hours daily on social media; Tiktok Usage: 68% use TikTok; Snapchat Usage: 67% use Snapchat; Profile Importance: 78% believe social media profiles are important for evaluation; Employer Social Impact: 95% say company social media presence impacts decision to apply; DEI Content Influence: 48% cite DEI initiatives as content increasing likelihood to apply; Social Media Applications: 48% have applied for jobs they saw on social media</t>
        </is>
      </c>
    </row>
    <row r="84">
      <c r="B84" s="7" t="inlineStr">
        <is>
          <t>Workplace Expectations</t>
        </is>
      </c>
      <c r="D84" s="8" t="inlineStr">
        <is>
          <t>Flexibility: Left Or Considered Leaving Over Flexibility: 72% have left or considered leaving a job lacking flexible work policy; Fully Remote Preference: Only 23% prefer fully remote (lower than older generations at 35%); Hybrid Preference: Hybrid models (e.g., 3-day office, 2-day remote) are most attractive; Office Preference Nuance: Gen Z is actually most likely to want employees in the office more often than older generations; Loneliness Driver: 27% felt lonely 'a lot' the previous day (nearly double Gen X, triple Boomers); Mental Health: Priority Level: Over 60% rank mental health as number one concern at work (McKinsey); Would Leave For Better Benefits: 61% would strongly consider leaving for better mental health benefits; Experiencing Challenges: 91% report experiencing mental health challenges at least occasionally; Disconnecting Difficulty: Nearly 1 in 5 say they can't detach from work at end of day; Expectations: Expect mental health days, counseling services, and supportive environment; DEI: Importance: Greater focus on DEI initiatives in workplace is expected; Impact: Companies expanding DEI focus see improved engagement across all age groups; Note: Expect companies to demonstrate real commitment to diversity and ethical practices; Purpose: Purpose Essential: 89% say a sense of purpose is essential to job satisfaction (Deloitte 2025); Employer Expectations: Expect employers to demonstrate commitment to sustainability, diversity, and social impact</t>
        </is>
      </c>
    </row>
    <row r="85">
      <c r="B85" s="7" t="inlineStr">
        <is>
          <t>Salary Expectations</t>
        </is>
      </c>
      <c r="D85" s="8" t="inlineStr">
        <is>
          <t>Expected Starting Salary: $101,500 (ZipRecruiter 2025); Actual Average Starting Salary: $68,400; Expectation Gap: $33,100 gap between expectations and reality; Financial Success Threshold: $587,797 annual salary deemed adequate for financial success; Middle Class Perception: Only 41% consider $74,000/year as middle class; Financial Health Requirement: $177,633 needed to feel financially healthy; Would Leave Over Salary: 74% would leave if salary was unsatisfactory; Bonus Programs: 71.6% of organizations include new graduates in annual bonus programs; Sign On Bonuses: 45.6% of organizations offer sign-on bonuses to new graduates</t>
        </is>
      </c>
    </row>
    <row r="86">
      <c r="B86" s="7" t="inlineStr">
        <is>
          <t>Tenure</t>
        </is>
      </c>
      <c r="D86" s="8" t="inlineStr">
        <is>
          <t>Average Tenure: First Five Years: 1.1 years average tenure (Randstad global survey); Overall Average: 1.8 years (Gateway Commercial Finance); Comparison: vs Millennials 1.8 years, Gen X 2.8 years, Boomers 2.9 years; Job Change Plans: 1 in 3 Gen Z workers plans to change jobs within next year; Industries Explored: Already moved through 2.1 industries and 2.2 roles in first 3 career years; Career Goals Consideration: 40% always consider long-term career goals when making job changes; Compensation Edge Faded: Job-switching salary premium now only 0.2% (4.8% vs 4.6% for stayers) — lowest gap in 10 years; Burnout Risk: Job-hoppers are 65% more likely to report burnout (38% vs 23%); Counterpoint: Workers aged 25-34 in 2024 had median tenure of 2.7 years, only slightly lower than Boomers at same age in 1983</t>
        </is>
      </c>
    </row>
    <row r="88" ht="22" customHeight="1">
      <c r="B88" s="29" t="inlineStr">
        <is>
          <t>Employer Branding</t>
        </is>
      </c>
    </row>
    <row r="89">
      <c r="B89" s="7" t="inlineStr">
        <is>
          <t>Roi Data</t>
        </is>
      </c>
      <c r="D89" s="8" t="inlineStr">
        <is>
          <t>Cost Per Hire Reduction: Primary Stat: 50% reduction in cost-per-hire for companies with strong employer brands; Source: Glassdoor; Supporting Data: Companies with weak employer brand pay ~2x more per hire (LinkedIn), 43% average reduction in hiring costs vs. companies with weaker branding, 28-50% reduction range commonly cited across multiple studies, 10% more per hire for companies with negative reputation (Harvard Business Review), Average US cost per hire: $4,700 (SHRM), up to $28,000 for senior roles; ROI Per Dollar: Stat: $3.20 ROI per dollar spent over 2 years; Source: Forrester Total Economic Impact Study 2023; Annual Savings: Stat: 18% reduction in overall HR costs, saving $4.5M annually for mid-sized firms; Source: Nucleus Research 2024; Profitability Impact: Stat: 26% higher profitability margins linked to employer brand excellence; Source: PwC Strategy&amp; 2023; Time To Fill Impact: Stats: Up to 50% reduction in time-to-hire (LinkedIn), 1-2 weeks faster position fills with strong employer brands, 1-2x faster hiring overall (LinkedIn Employer Brand Stats), Siemens achieved 28% reduction in time-to-fill for hard-to-hire roles, saving $1.2M in lost productivity; Quality Of Hire Impact: Stats: 50% more qualified applicants (LinkedIn), 3x more likely to make quality hires (LinkedIn), Strong brands naturally filter applicant pools for cultural and value alignment, Quality measured via performance ratings, ramp-up speed, and cultural fit; Retention Impact: Stats: 28% lower turnover (LinkedIn), 68% reduction in early attrition (Korn Ferry 2024), 41% reduction in productivity loss from turnover, ~$2.8K saved per employee (IBM 2024), Turnover costs 33% of employee salary on average (Work Institute), EVP-driven retention: 69% reduction in employee turnover for compelling EVPs; Offer Acceptance: Stats: Atlassian achieved 19% lift in offer acceptance rates through storytelling, 84% offer acceptance rate industry average in 2024 (up from 81% in 2021), Competitive offer acceptance rate: 70-80% (industry standard); ROI Timeline: Initial improvements within 6-12 months; larger ROI gains after sustained consistency over multiple hiring cycles</t>
        </is>
      </c>
    </row>
    <row r="90">
      <c r="B90" s="7" t="inlineStr">
        <is>
          <t>Best Practices</t>
        </is>
      </c>
      <c r="D90" s="8" t="inlineStr">
        <is>
          <t>Practice: Develop authentic Employee Value Proposition (EVP); Details: EVP should be authentic, human-centered, and continuously evolving. Focus 80% of effort on fulfilling EVP promises and 20% on defining it.; Impact: 69% reduction in turnover; 20% more candidates attracted, Practice: Employee advocacy programs; Details: Employee-shared content gets 8x more engagement than employer-driven content. 92% of candidates trust employee recommendations over ads.; Impact: 2,033% ROI documented; 20% higher revenue growth; 400% higher social selling success, Practice: Video content and employee testimonials; Details: Short candid video testimonials, day-in-life features, social media takeovers. Videos boost CTR by up to 120%.; Impact: 86% of candidates value employee stories; content shared by employees is 24x more likely to be reshared, Practice: Glassdoor reputation management; Details: Respond to all reviews (71% perception improvement), maintain 4+ star rating. Candidates read 6+ reviews before applying.; Impact: 0.5-star improvement = 20% more job clicks and 16% more apply starts; 1-star higher rating = 6x more effective than $10K salary increase, Practice: Career site optimization; Details: Mobile-friendly, authentic content, employee testimonials, SEO-optimized job offers, intuitive navigation, no registration required.; Impact: Top-performing sites achieve 10%+ conversion rate vs. industry average of 5-6%, Practice: Social media employer branding; Details: 98% of in-house teams use social media; 65% run dedicated employer branding accounts. LinkedIn, Instagram, TikTok, YouTube.; Impact: 54% of talent leaders call social media effective for employer brand in 2025, Practice: Award programs and certifications; Details: Great Place to Work, Fortune Best Companies, industry-specific awards signal culture quality.; Impact: Award-winning companies see measurable improvements in application volume and quality, Practice: Continuous measurement and iteration; Details: Track employee retention rates (45%), engagement surveys (45%), candidate experience feedback (37%), social media analytics (31%), review platform ratings (29%), quality of hire (29%).; Impact: Only 18% of companies effectively communicate employer brand impact (Conference Board)</t>
        </is>
      </c>
    </row>
    <row r="91">
      <c r="B91" s="7" t="inlineStr">
        <is>
          <t>Channel Effectiveness</t>
        </is>
      </c>
      <c r="D91" s="8" t="inlineStr">
        <is>
          <t>Linkedin: Reach: 1.15 billion monthly active users worldwide in 2025; Effectiveness: Best for professional sourcing, employer branding, and engaging active/passive candidates; Cost: Recruiter Lite: $1,680/year; Recruiter: $10,800/year per seat; Best For: Professional and white-collar recruitment; Glassdoor: Impact: 86% of job seekers research company reviews before applying; Engagement: 70% of users more likely to apply if employer is active on platform; Deterrent: 35% of candidates drop out after negative reviews; 60% won't apply to 1-star companies; Retention Effect: Candidates who used Glassdoor have 30% higher retention rates; Careers Page: Conversion: Average 5-6% visitor-to-applicant rate; top performers achieve 10%+; Quality: Company career page candidates tend to be highest quality; Underutilization: Hugely successful source of hires but underutilized source of applicants; Optimization Tips: Mobile-friendly design, Employee testimonials and videos, Clear job descriptions with salary ranges, Easy apply process (under 5 minutes), No registration requirement before applying, Alternative CTAs: email alerts, talent community, social sharing; Social Media: Reach: Social media expands reach to ~100% of candidates vs. 27% for job boards alone; Adoption: 84% of organizations recruit via social media; Content Effectiveness: Employee-shared content gets 8x more engagement; videos boost CTR by 120%; Platforms: Linkedin: Professional networking and white-collar roles; Instagram: Visual storytelling and younger talent; Tiktok: Short-form video for Gen Z engagement; Youtube: Long-form recruitment videos and culture showcases; Facebook: Community building and local hiring; Employee Advocacy: Engagement Multiplier: 8x more engagement than employer-driven content; Trust Factor: 92% trust employee recommendations over advertising (Nielsen); Network Reach: Employee networks have 10x more connections than company followers; Reshare Rate: Employee-shared content is 24x more likely to be reshared; Revenue Impact: 64% of advocates credit program with attracting new business</t>
        </is>
      </c>
    </row>
    <row r="93" ht="22" customHeight="1">
      <c r="B93" s="29" t="inlineStr">
        <is>
          <t>Relevant Research</t>
        </is>
      </c>
    </row>
    <row r="94">
      <c r="B94" s="51" t="inlineStr">
        <is>
          <t xml:space="preserve">  - Title: Recruitment Marketing Benchmark Report 2023 (7th Annual); Publisher: Appcast; Year: 2023; Finding Count: 17; Top Findings: Labor supply rebounded in 2022: labor force expanded by 2.5 million from Dec 2021 to Dec 2022, CPA declined ~22% YoY despite tumultuous labor market — Dec 2022 CPA was $25.14 vs ~$32 prior year, CPC stabilized near $1.05 after dramatic 2021 increases; Q4 2022 averaged $1.07 vs $1.10 in Q4 2021</t>
        </is>
      </c>
    </row>
    <row r="95">
      <c r="B95" s="51" t="inlineStr">
        <is>
          <t xml:space="preserve">  - Title: Guide to Recruitment and Programmatic Terminology; Publisher: Appcast; Year: 2023; Finding Count: 0</t>
        </is>
      </c>
    </row>
    <row r="96">
      <c r="B96" s="51" t="inlineStr">
        <is>
          <t xml:space="preserve">  - Title: Recruitment Marketing Benchmark Report 2025 (9th Annual); Publisher: Appcast; Year: 2025; Finding Count: 10; Top Findings: Labor market in near-perfect balance, shifting power from job seekers to employers amid the 'Great Stay', Apply rates climbed in 2024, ending at 6.1%, a 35% increase from January to December, CPAs remained stable, rising by only 4.8% over the year</t>
        </is>
      </c>
    </row>
    <row r="97">
      <c r="B97" s="51" t="inlineStr">
        <is>
          <t xml:space="preserve">  - Title: Recruitment Marketing Benchmark Report 2026 (10th Annual); Publisher: Appcast; Year: 2026; Finding Count: 16; Top Findings: CPA and CPH rose sharply in 2025 despite a softer labor market — recruiting isn't getting cheaper, Cost drivers shifted beyond labor supply to job board pricing and programmatic media models, Apply rates improved to 5.19% in 2025, partly due to increased job-seeker volume</t>
        </is>
      </c>
    </row>
    <row r="98">
      <c r="B98" s="51" t="inlineStr">
        <is>
          <t xml:space="preserve">  - Title: Recruiting Benchmarks Report 2026; Publisher: Joveo; Year: 2026; Finding Count: 7; Top Findings: Up to 9x growth in applicant volume over the past three years for some roles, White-collar roles saw applicant floods while location-bound licensed roles remained supply-constrained, Volume increase did not translate into easier hiring; manual screening became the bottleneck</t>
        </is>
      </c>
    </row>
    <row r="99">
      <c r="B99" s="51" t="inlineStr">
        <is>
          <t xml:space="preserve">  - Title: Frontline &amp; High-Volume Hiring Performance Data 2025; Publisher: Talroo; Year: 2025; Finding Count: 6; Top Findings: 97%+ of Talroo's frontline worker profiles are not active on major B2B social networking sites, Majority of Talroo's audience cannot be found on any other job site (per SimilarWeb data), SmartQualify drove up to 80% hire-rate gains</t>
        </is>
      </c>
    </row>
    <row r="100">
      <c r="B100" s="51" t="inlineStr">
        <is>
          <t xml:space="preserve">  - Title: Indeed Hiring Lab 2025-2026 Reports (Labor Market Trends, JOLTS Analysis, Workforce Insights Survey); Publisher: Indeed; Year: 2026; Finding Count: 10; Top Findings: Labor market in 'low hire, low fire' frozen landscape, Job Postings Index sliding from 10%+ above pre-pandemic to barely above norms, December 2025: 7.5M unemployed vs 6.5M job vacancies - nearly 1M more unemployed than openings</t>
        </is>
      </c>
    </row>
    <row r="101">
      <c r="B101" s="51" t="inlineStr">
        <is>
          <t xml:space="preserve">  - Title: ZipRecruiter Economic Research: The Great Freeze &amp; 2026 Outlook; Publisher: ZipRecruiter; Year: 2026; Finding Count: 11; Top Findings: 'Great Freeze': Employee turnover dropped from 177% in 2023 to 50% in 2025, U.S. added just 584,000 jobs in 2025, worst outside recession since 2003, Healthcare alone accounted for ~69% of all job growth in 2025</t>
        </is>
      </c>
    </row>
    <row r="103" ht="22" customHeight="1">
      <c r="B103" s="29" t="inlineStr">
        <is>
          <t>Appcast 2026 Benchmarks</t>
        </is>
      </c>
    </row>
    <row r="104">
      <c r="B104" s="7" t="inlineStr">
        <is>
          <t>Data Year</t>
        </is>
      </c>
      <c r="D104" s="8" t="inlineStr">
        <is>
          <t>2025</t>
        </is>
      </c>
    </row>
    <row r="105">
      <c r="B105" s="7" t="inlineStr">
        <is>
          <t>Data Analyzed</t>
        </is>
      </c>
      <c r="D105" s="8" t="inlineStr">
        <is>
          <t>302 million clicks, 27.4 million applies, ~1,200 employers</t>
        </is>
      </c>
    </row>
    <row r="106">
      <c r="B106" s="7" t="inlineStr">
        <is>
          <t>Data Priority</t>
        </is>
      </c>
      <c r="D106" s="8" t="inlineStr">
        <is>
          <t>3</t>
        </is>
      </c>
    </row>
    <row r="107">
      <c r="B107" s="7" t="inlineStr">
        <is>
          <t>Occupation Benchmarks</t>
        </is>
      </c>
      <c r="D107" s="8" t="inlineStr">
        <is>
          <t>Occupation Key: hospitality; CPA: $11.67; CPH: $513; Apply Rate: 4.85%; Cost Per Screen: $52; Cost Per Interview: $77; Cost Per Offer: $196</t>
        </is>
      </c>
    </row>
    <row r="108">
      <c r="B108" s="7" t="inlineStr">
        <is>
          <t>Full Funnel Costs</t>
        </is>
      </c>
      <c r="D108" s="8" t="inlineStr">
        <is>
          <t>Overall Median CPC: $0.83; Overall Median CPA: $19.20; Overall Median Cps: $131 (cost-per-screen); Overall Median Cpi: $275 (cost-per-interview); Overall Median Cpo: $758 (cost-per-offer); Overall Median CPH: $1,053 (cost-per-hire)</t>
        </is>
      </c>
    </row>
    <row r="109">
      <c r="B109" s="7" t="inlineStr">
        <is>
          <t>International Cpa</t>
        </is>
      </c>
      <c r="D109" s="8" t="inlineStr">
        <is>
          <t>Austria: $46.15; Switzerland: $38.64; Germany: $36.77; Belgium: $33.67; France: $25.00; Poland: $24.00; Philippines: $22.03; Spain: $17.56; Australia: $16.66; United Kingdom: $15.43</t>
        </is>
      </c>
    </row>
    <row r="110">
      <c r="B110" s="7" t="inlineStr">
        <is>
          <t>Job Ad Insights</t>
        </is>
      </c>
      <c r="D110" s="8" t="inlineStr">
        <is>
          <t>Optimal Title Length: 4-6 words (4.80% apply rate); Salary Transparency Lift: 5.03% vs 4.51% (non-transparent); Apply Time 1 5 Min: 5.37% rate; Apply Time 6 10 Min: 4.37% rate; Apply Time 16 Plus Min: 3.09% rate; Best Day To Post: Monday (5.01% apply rate); Applies First 10 Days: 53% of total lifetime applies; Median Apply Time: 6-8 minutes across most occupations</t>
        </is>
      </c>
    </row>
    <row r="111">
      <c r="B111" s="7" t="inlineStr">
        <is>
          <t>Overall Apply Rate</t>
        </is>
      </c>
      <c r="D111" s="8" t="inlineStr">
        <is>
          <t>4.66% median (5.19% end of year)</t>
        </is>
      </c>
    </row>
    <row r="112">
      <c r="B112" s="7" t="inlineStr">
        <is>
          <t>Mobile Click Share</t>
        </is>
      </c>
      <c r="D112" s="8" t="inlineStr">
        <is>
          <t>63%</t>
        </is>
      </c>
    </row>
    <row r="113">
      <c r="B113" s="7" t="inlineStr">
        <is>
          <t>Mobile Apply Share</t>
        </is>
      </c>
      <c r="D113" s="8" t="inlineStr">
        <is>
          <t>71%</t>
        </is>
      </c>
    </row>
    <row r="115" ht="22" customHeight="1">
      <c r="B115" s="29" t="inlineStr">
        <is>
          <t>Google Ads 2025 Benchmarks</t>
        </is>
      </c>
    </row>
    <row r="116">
      <c r="B116" s="7" t="inlineStr">
        <is>
          <t>Data Priority</t>
        </is>
      </c>
      <c r="D116" s="8" t="inlineStr">
        <is>
          <t>3</t>
        </is>
      </c>
    </row>
    <row r="117">
      <c r="B117" s="7" t="inlineStr">
        <is>
          <t>Category</t>
        </is>
      </c>
      <c r="D117" s="8" t="inlineStr">
        <is>
          <t>Retail &amp; Hospitality</t>
        </is>
      </c>
    </row>
    <row r="118">
      <c r="B118" s="7" t="inlineStr">
        <is>
          <t>Blended Cpc</t>
        </is>
      </c>
      <c r="D118" s="8" t="inlineStr">
        <is>
          <t>0.97</t>
        </is>
      </c>
    </row>
    <row r="119">
      <c r="B119" s="7" t="inlineStr">
        <is>
          <t>Blended Ctr</t>
        </is>
      </c>
      <c r="D119" s="8" t="inlineStr">
        <is>
          <t>5.03</t>
        </is>
      </c>
    </row>
    <row r="120">
      <c r="B120" s="7" t="inlineStr">
        <is>
          <t>Cpc Stats</t>
        </is>
      </c>
      <c r="D120" s="8" t="inlineStr">
        <is>
          <t>Mean: 1.57; Median: 1.31; P25: 1.16; P75: 1.81; Min: 0.58; Max: 4.26</t>
        </is>
      </c>
    </row>
    <row r="121">
      <c r="B121" s="7" t="inlineStr">
        <is>
          <t>Total Keywords</t>
        </is>
      </c>
      <c r="D121" s="8" t="inlineStr">
        <is>
          <t>16</t>
        </is>
      </c>
    </row>
    <row r="122">
      <c r="B122" s="7" t="inlineStr">
        <is>
          <t>Total Spend</t>
        </is>
      </c>
      <c r="D122" s="8" t="inlineStr">
        <is>
          <t>512.53</t>
        </is>
      </c>
    </row>
    <row r="123">
      <c r="B123" s="7" t="inlineStr">
        <is>
          <t>Top Keywords</t>
        </is>
      </c>
      <c r="D123" s="8" t="inlineStr">
        <is>
          <t>Keyword: store jobs; CPC: 0.92; Ctr Pct: 4.59</t>
        </is>
      </c>
    </row>
    <row r="125" ht="22" customHeight="1">
      <c r="B125" s="29" t="inlineStr">
        <is>
          <t>Supply Partner Trends</t>
        </is>
      </c>
    </row>
    <row r="126">
      <c r="B126" s="7" t="inlineStr">
        <is>
          <t>Job Board Evolution</t>
        </is>
      </c>
      <c r="D126" s="8" t="inlineStr">
        <is>
          <t>Indeed: Market Position: Global Companies Using: Over 45,043 companies worldwide using Indeed; US Dominance: 69.05% of Indeed customers are US-based; Monthly Visits Dec 2025: 360.7 million visits; Traffic Trend: Traffic decreased 6.19% month-over-month in December 2025; Organic Search Decline: -8.13% organic search traffic month-over-month; Peak Traffic: 604.5 million unique global visitors (March 2024); AI Traffic: 882K visits from ChatGPT, 227K from jobright.ai, 73K from Perplexity; Pricing Changes 2025 2026: Healthy Budget Minimum: $25 minimum spend per job (enforced July 1, 2025); Free Hosted Job Limits: Limited to 3 free hosted jobs per employer per calendar month (December 2025); Organic Visibility Change March 2026: Jobs from single-source XML/API feeds lose free organic visibility unless delivered through ATS supporting Indeed Apply; Cost Impact: Experts warn hiring costs could quadruple under new rules; Strategic Direction: Shifting from free aggregator to closed full-service platform requiring payment for visibility; Arpj Target: Recruit Holdings committed to 16% increase in Average Revenue per Posted Job; Labor Market Context: Job Search Activity: Job searches up 31% in January 2026 vs early December 2025; Employer Leverage: Job openings per unemployed person now below 1.0; Market Environment: Low hire, low fire environment continues; Linkedin: Member Base: 1.2 billion members globally; Recruiter Activity: 89% of recruiters active on the platform; AI Job Match Feature: Launched January 2025 — provides instant profile-to-job match analysis; AI Impact On Applications: AI optimizations drove 40% year-over-year job application growth; Personalized Recommendations: 30% boost from personalized recommendations; Skills Validation: Now looks for 'Entity Associations' — posts, endorsements, projects corroborating claimed skills; AI Roles Growth: 70% year-over-year increase in US roles requiring AI literacy; Recruiter AI Plans: 93% of recruiters plan to increase AI usage in 2026; Hidden Gem Finding: 60% of recruiters say AI helps find talent they would have overlooked; Skills On The Rise 2026: Published lists across US, UK, Canada, Australia, Singapore; Ziprecruiter: AI Career Advisor: Phil — AI-powered career advisor using conversational questions; Matching Approach: Analyzes skills, certifications, experience, salary desires, career objectives; One Tap Apply: Quick-apply feature, but criticized for favoring volume over quality; Criticism: Algorithm seems to favor application volume over candidate quality; Market Position: Lacks standout features compared to competitors in 2026; Google For Jobs: Impact: Generalist platforms still lead on Google for Jobs visibility; Niche Boards: Niche boards gaining ground but generalists dominate Google for Jobs; Search Behavior Shift: AI-generated overviews reducing need for users to click on ads; Niche Vs Generalist: Niche Board Growth: Healthcare Visibility: Healthcare niche boards hold 26.7% visibility, close to general platforms; Specialization Advantage: Focus on specific audience, industry, role type provides better matching; SEO Advantage: Easier to rank in search engines with focused content; Passive Candidate Reach: Deliver applications that Indeed and LinkedIn cannot; Generalist Challenges: AI Erosion: Being swallowed by AI-driven search engines; Volume Vs Clarity: Employers frustrated by 'volume without clarity' crisis; Note: Job boards won't disappear, but spending shift expected; Aggregator Market: Market Size 2023: $5.2 billion; Projected 2032: $16.2 billion; Cagr: 13.7% (2024-2032); Challenges: Intense competition, potential market saturation, price pressure; Consolidation And Acquisitions: Workday Acquires Paradox: $4.5 billion acquisition announced early 2025; Trend: Larger players buying smaller, less profitable players in closely related industries; Specialist Outperformance: Specialist platforms generating better returns than generalists; 2026 Outlook: Increased consolidation expected due to AI search advances</t>
        </is>
      </c>
    </row>
    <row r="127">
      <c r="B127" s="7" t="inlineStr">
        <is>
          <t>Programmatic Trends</t>
        </is>
      </c>
      <c r="D127" s="8" t="inlineStr">
        <is>
          <t>Market Growth: Growth Rate: Growing 2x faster than overall job advertising market; Global Programmatic Spend 2026: $725 billion projected; Recruitment Focus: Shift from CPC to CPA/CPQA (cost-per-quality-acquisition) models; CPC Inflation: Overall CPC Increase 2024 2025: 12.88% average increase across all industries ($4.66 to $5.26); Google Ads Annual Average: 2.33% annual CPC increase (Google's own data, 2019-2024); Wordstream Benchmarks: &gt;4% CAGR over last 4 years across all industries; Managed Accounts: 11.75% CAGR for high-spend accounts; Cost Per Lead Increase: ~25% year-over-year increase across all industries; Zero Click Searches: Nearly 60% of Google searches ended without a click in 2024; US Ad Spend Growth: Over 12% growth, reaching $144 billion; Impression Decline: Down 15% year-over-year despite spending increases; Click Fraud And Ad Fraud: Global Fraud Losses: Projected to exceed $172 billion annually by 2028; Programmatic Fraud Rate: 40-50% ad fraud rates without verification tools; At Risk Impressions: 20-25% of programmatic impressions at risk without verification; Average Campaign Fraud: 25% fraud in average campaign; programmatic often 40-50%; Advertiser Budget Loss: 15-30% of budget lost to invalid traffic (IVT); Fraud Prevention Impact: Using fraud prevention tools reduces invalid traffic by 60-90%; Fraud Types: Cookie stuffing, bot traffic, click/impression fraud, domain spoofing, hidden advertising; Rising Costs Increase Fraud: Higher CPM/CPC pressures lead to increased fraud tactics; Publisher Quality: Domain Spoofing Risk: Websites disguised as higher-value sites to inflate prices; Quality Management: Most teams limit to high-volume/low-CPC publishers regardless of hire quality; Prevention Strategies: Pre-bid solutions to screen high-risk inventory, Whitelisting known, trustworthy domains, Third-party verification tools, Performance-based publisher scoring; Pricing Model Evolution: Traditional CPC: Still dominant but declining in effectiveness; CPA Models: Growing focus on cost-per-application; Cpqa Models: Emerging focus on cost-per-quality-acquisition; Performance Focus: Budget flows only to channels delivering qualified candidates; Indeed Model Shift: Indeed experimented with PPA in 2022-2023 but reverted to CPC after backlash; Mobile Apply Optimization: Gen Z Behavior: Discover on mobile, complete applications on desktop; Desktop Growth: Desktop application completion grew from 54% (2023) to 65% (2025); Implication: Mobile optimization critical for discovery, but desktop experience matters for conversion; Conversational Apply: Paradox Olivia: Market Leader: 500+ companies worldwide; Conversion Improvement: 5x increase in application conversion; Hiring Speed: Chipotle 75% faster hiring, McDonald's cut hiring time in half; Cost Savings: GM saved $2M annually; Time Savings: 7-Eleven saved 40,000 interview-hours per week; Scheduling Speed: Interview scheduling dropped from 26 hours to 18 minutes; Candidate Satisfaction: 99.78% of candidates rate experience positively; Acquisition: Acquired by Workday for ~$4.5 billion (2025); Languages: 100+ languages supported; Market Size: Current 2025: $2.03 billion; Projected 2030: $5.41 billion; Cagr: 21.6%; Video Job Ads: Short Form Effectiveness: Short-form videos outperform generic career pages for Gen Z; Employee Stories: Real employee stories drive higher engagement than corporate content; Tiktok Recruitment Videos: Some videos earn 37,000+ likes and directly drive career site traffic; Paradox Video Capture: Allows video responses within conversational application flow; One Click Apply: Volume Vs Quality: Increases application volume but can reduce quality; Ziprecruiter Criticism: 1-Tap Apply opens floodgates to mismatched applications; Employer Challenge: Need to balance ease of apply with qualified candidate filtering; Skills Based Hiring 2026: Adoption Rate: 70% of employers now use skills-based hiring (up from 65% last year); Moving To Model: 55% of employers have begun moving to a skills-based model; No Programmatic Platform Supports: No programmatic platform currently supports skills-based targeting, despite 70% employer adoption; Source: NACE / Market Research 2026</t>
        </is>
      </c>
    </row>
    <row r="128">
      <c r="B128" s="7" t="inlineStr">
        <is>
          <t>Social Recruiting</t>
        </is>
      </c>
      <c r="D128" s="8" t="inlineStr">
        <is>
          <t>Tiktok: Platform Stats: 1 billion+ monthly active users, majority under 30; Algorithm Advantage: 'For You' feed allows any video to go viral, unlike follow-based platforms; Lower Competition: Still underused for recruitment vs Indeed/Facebook; Gen Z Search: 74% of Gen Z use TikTok for search; 51% favor it over Google; Case Studies: Chipotle: Applicants increased 7% from TikTok recruiting campaign; Manufacturing: Mid-sized manufacturers using shop-floor content for hiring; Viral Recruitment: Some recruiting videos earned 37,000+ likes; Limitations: Skews younger, may not reach senior/specialized candidates; requires strong visual content; Ban Risk: Ongoing uncertainty about TikTok availability in the US; Instagram: User Demographics: Over 60% of users aged 18-34; Employer Branding: Powerful for illustrating work environment and employee experiences; Content Formats: Reels, Stories, posts for behind-the-scenes and culture content; Influence On Applications: 76% of Gen Z rely on Instagram for career content; Reddit: Growth: Overtook X to become 5th most-popular social platform in UK (47% YoY growth); Unique Value: Community-driven format ensures valuable content stays visible and searchable; Ama Effectiveness: Strategic AMAs position organizations as thought leaders while attracting talent; Employee Advocacy: Works exceptionally well due to Reddit's credibility-driven culture; Authenticity Advantage: Genuine community participation carries more credibility than corporate accounts; Emerging Platforms: Discord Slack: Tech recruiting through community channels; Youtube Shorts: Expected to be dominant for recruiting ad videos in 2025; Spotify: Drawing increasing interest for job advertising; X Decline: Companies losing interest due to polarizing content associations; Employee Advocacy: Trust Factor: 86% of candidates trust employee recommendations over corporate advertising (Universum); Reach: Job searchers spend only 3% of online time on Indeed/LinkedIn; Social Impressions: Social media creates brand impressions before active job searching; Multi Platform: Employees share on LinkedIn, Instagram, Reddit, TikTok</t>
        </is>
      </c>
    </row>
    <row r="129">
      <c r="B129" s="7" t="inlineStr">
        <is>
          <t>Emerging Channels</t>
        </is>
      </c>
      <c r="D129" s="8" t="inlineStr">
        <is>
          <t>Ctv Connected Tv: Market Size: Ad Spend 2025: $33.35 billion (nearly 10% of total digital ad spend); US Ctv Users 2026: 69.9% of US population; US Ctv Viewers: 250+ million; Global Smart Tv Households: 1.2 billion; Streaming Dominance: Streaming accounted for 47.5% of total U.S. TV viewing time (December 2025); Interactive Ads: Engagement per impression reached 1.94% in Q2 2025 (nearly double Q2 2024); Maturation: Channel moved from experimental to essential/evergreen in 2025; Recruitment Application: Growing interest in CTV for employer branding and large-scale recruitment campaigns; Podcast Advertising: Weekly Listeners 2026: 121.5 million in US; Video Podcast Growth: YouTube podcast streaming on TVs: 700M hours (Oct 2025) vs 400M (Oct 2024); Audio Vs Video: Audio ads outperform video in purchase conversion by 18-25%; Brand Building: Video podcasts on YouTube better for brand building; audio better for direct response; Recruitment Use: Increasingly used for employer branding and culture storytelling; Voice Advertising: Status: Emerging touchpoint through Alexa, Google Home, Siri; Potential: Real-time, hyper-relevant advertising through voice commands; Readiness: Most brands don't yet have infrastructure for voice-based retargeting; Metaverse Recruiting: Status: Largely faded from mainstream recruiting conversations; Note: Initial hype did not translate into significant recruiting adoption; In Game Advertising: Target Audience: Potential for Gen Z recruitment through gaming platforms; Status: Experimental; not yet mainstream for recruitment; AI Chatbot Recruiting: Paradox Olivia: Market leader, acquired by Workday for $4.5B; Market Growth: Recruitment chatbot market: $2.03B (2025) to $5.41B (2030), 21.6% CAGR; AI Screening Adoption: 83% of hiring managers using AI to screen resumes (up from 12% five years ago); Autonomous Agents: More than half of talent leaders planning to add autonomous AI agents in 2026</t>
        </is>
      </c>
    </row>
    <row r="131" ht="22" customHeight="1">
      <c r="B131" s="29" t="inlineStr">
        <is>
          <t>Job Type Trends</t>
        </is>
      </c>
    </row>
    <row r="132">
      <c r="B132" s="7" t="inlineStr">
        <is>
          <t>Growing Demand</t>
        </is>
      </c>
      <c r="D132" s="8" t="inlineStr">
        <is>
          <t>AI Ml Engineers: Hiring Growth: 88% year-on-year growth in 2025; US Positions Q1 2025: 35,445 AI-related positions (25.2% increase from Q1 2024); Salary Average: $206,000 average (2025), up $50,000 from previous year; Senior Level Median: $240,000 (top 4% of all earners); Salary Premium: 12% premium at IC level vs non-AI roles; Market Size: Global ML market: $55.8B (2024) to $282.13B (2030), 30.4% CAGR; Job Title Share: AI/ML Engineer represents 45% of all AI/ML job titles; Company Priority: 65% of companies making AI skillsets a business priority; Emerging Roles: AI Engineer (+143% growth), Prompt Engineer (+95% growth) YoY; Cybersecurity: Unfilled Jobs Global: 3.5 million currently, expected 4.5 million by 2026; US Openings 2025: 457,398 cybersecurity job openings (CyberSeek); Bls Growth Projection: 33% increase 2023-2033 (much faster than average); Annual Posting Growth: 18-22% year-over-year through 2026; Median Salary: $124,910 (May 2024 BLS data); Unemployment Rate: Has reached 0% multiple times in past 5 years; Spending Growth: Security software: $95B (2024) to $106B (2025) to $121B (2026); Top Skill Gaps: AI (41%), cloud security (36%), risk assessment (29%), application security (28%); Healthcare: Job Growth Dominance: 121% of all jobs added Jan 2025-Jan 2026 were in healthcare; January 2026: 81,900 of 130,000 total jobs added (63%); Long Term Projection: 5.2 million US jobs expected 2024-2034; Annual Openings: ~1.9 million openings projected annually; Health Services Managers Growth: 29% by 2033; Above Pandemic Levels: Job postings remain 32.5% above pre-pandemic levels; AI Resistance: Healthcare jobs hard to automate and can't be offshored; Nursing Shortage: Over 500,000 nurses short in 2025; Skilled Trades: Growth Range: 4-60% for various trades through 2033 (BLS); Solar Installer Growth: 48% projected 2023-2033; Wind Turbine Tech Growth: 45% projected 2023-2033 (fastest-growing occupation); Electrician Growth: 11% projected 2023-2033; Retirement Ratio: 5 experienced tradespeople retire for every 2 new workers; Welder Shortage: 400,000 nationwide (American Welding Society); Aging Workforce: Nearly one-third of skilled labor force is over 50; Infrastructure Jobs: Bipartisan Infrastructure Law creating 345,000 new trade positions; Construction Annual Growth: 154,900 new jobs annually over next decade; Automation Resistance: Cannot be replaced by machines or shipped overseas; Renewable Energy: Global Employment: 16.2 million people employed in renewable energy (2023 IRENA); Solar Jobs: 7.1 million jobs worldwide in solar; Projected 2030: Over 30 million global renewable energy jobs; Wind Tech Growth: 60% job growth 2023-2033; Solar Installer Growth: 27% growth 2022-2032; US Capacity Additions 2025: Renewables accounted for 93% of capacity additions; 2026 Projection: Solar, wind, battery additions projected 62% higher than previous year; Policy Impact: IRA triggered $300B+ in clean energy projects; Policy Risk: One Big Beautiful Bill Act rolled back many clean energy tax credits; Supply Chain Logistics: Hiring Trend: 36% of companies added personnel, 32% had hiring freezes, 21% had layoffs; Bls Growth: 17% employment growth for logisticians through 2034; Stabilization: Market stabilizing after years of volatility; Automation Adoption: 54% of leaders prioritizing automation of repetitive tasks; Growth Drivers: Domestic production increases and reshoring initiatives; Mental Health Professionals: Bls Growth: 17% projected 2024-2034 (much faster than average); Annual Openings: 48,300 openings projected each year over next decade; Shortage Scale: 112+ million Americans in mental healthcare shortage areas; Market Size: US behavioral health: $96.9B (2025) to $159.35B (2035); Online Therapy Growth: US online therapy: $1.45B (2025) to $4.25B (2035), 8.73% CAGR; Workforce Gap: Shortages of counselors, psychiatrists, and social workers expected to worsen; Financial Compliance Risk: Demand Driver: Increasing regulatory complexity across industries; Growth Areas: AML compliance, risk management, regulatory technology</t>
        </is>
      </c>
    </row>
    <row r="133">
      <c r="B133" s="7" t="inlineStr">
        <is>
          <t>Declining Roles</t>
        </is>
      </c>
      <c r="D133" s="8" t="inlineStr">
        <is>
          <t>Overall Impact: Global Displacement: 85 million jobs displaced by AI/automation by end of 2026; US Impact 2025: 55,000 jobs impacted by AI-driven automation; Automatable Work: 25% of global work hours now automatable (up from 18%); Employer Reductions: 40% of employers expect workforce reductions due to AI; Wef Projection: 92 million jobs displaced by 2030, but 170 million new created (net +78M); Upskilling Need: Over 40% of workers will require significant upskilling by 2030; Data Entry: Positions At Risk: 7.5 million positions could be eliminated by 2027; Automation Technology: ML and OCR already automating manual data entry tasks; Traditional Volume: Rapidly shrinking as organizations adopt automated data pipelines; Customer Service: Automation Potential: 80% automation potential by 2025; Chatbot Replacement: AI chatbots increasingly handling routine customer interactions; Vulnerability: Administration and customer service most vulnerable sectors; Retail Cashiers: Automation Risk: 65% automation risk; Self Checkout Adoption: AI-powered checkout expected to reach 25% adoption by 2026-2028; Walmart Impact: Self-checkout expansion may replace 8,000 positions; Sams Club: AI verification rollout could eliminate 12,000 cashier jobs; Stock Clerks: Projected 10% decline by 2033 due to AI inventory; Entry Level Jobs: Posting Decline: 15% year-over-year decline in entry-level postings; UK Tech Grad Roles: Fell 46% in 2024, projected further 53% drop by 2026; US Junior Tech: 67% decrease in junior tech postings; Employment Decline: 13% decline in employment for workers 22-25 in AI-exposed roles; Hiring Vs Separations: Decline driven by slower hiring rather than increased separations; AI Adoption Impact: AI-adopting firms hired 3.7 fewer junior workers per quarter vs non-adopters; Traditional Media: Print Journalism: Continuing decline as digital media dominates; Broadcast Roles: Reduced demand for traditional broadcast positions; Basic Accounting: Automation Driver: AI and automation tools handling routine bookkeeping; Transformation: Shifting toward advisory and strategic roles requiring human judgment; Tech Layoffs: AI Attributed Losses H1 2025: 77,999 tech jobs directly attributed to AI; Early 2026 Impact: Over 22,000 employees impacted by AI-driven layoffs; Chatgpt Replacement: 49% of US companies using ChatGPT report replacing workers; Displacement Timeline: 2026-2028 expected peak of career transitions and displacement</t>
        </is>
      </c>
    </row>
    <row r="134">
      <c r="B134" s="7" t="inlineStr">
        <is>
          <t>Gig Economy</t>
        </is>
      </c>
      <c r="D134" s="8" t="inlineStr">
        <is>
          <t>Market Size: Global 2026: $674.1 billion; Projected 2035: $2,522.37 billion; Cagr: 15.79%; Freelance Platforms Market: $7.65B (2025) to $16.54B (2030); US Workforce: Total Gig Workers 2025: 70+ million Americans (36% of total workforce); Total Freelancers 2025: 76.4 million; Projected 2027: 87 million (50.9% of workforce); High Earners: 5.6 million earning $100K+ annually (87% increase since 2020); Average Hourly Pay: $16.67 (range $10.10-$27.16); Average Freelancer Salary: $108,028 annually; Skilled Freelancer Earnings: $1.5 trillion earned by US skilled knowledge freelancers (2024); Global Scale: World Bank Estimate: 435 million gig workers globally; Conservative Estimate: 154 million online gig workers worldwide; Platform Trends: Growth Rate: 5-8% year-over-year in monthly active users of gig work apps; Economic Cushion: Gig platforms absorbing strain as traditional labor market cools; Unemployment Hidden: 15% of 'unemployed' or 'not in labor force' are doing gig work; Pay Gap: Gig workers earn only 50-65% as much per hour as previous traditional jobs; Lost Income Response: 20% of people who lost pay/jobs turned to gig platforms; Upwork Stats: Registered Freelancers: 18+ million; Average Hourly Rate: $39/hour; Active Clients: 841,000; Annual Revenue: $769.32 million (2024); Gsv: $4 billion (2024); Growth Projection: 6-8% revenue growth projected for 2026; Sector Trends: White Collar Demand: Project-based white-collar talent demand grew 38% (FY 2025); Blue Collar Growth: Blue-collar gig hiring rose 92% YoY in 2024; AI Adoption: 60% of freelancers using AI-driven platforms for skill development (up from 35% in 2023); Gen Z Participation: 43% of Gen Z workers in gig economy (highest of any generation); Regulatory: California Unionization: 800,000 rideshare drivers can unionize starting Jan 1, 2026 (AB 1340); EU Platform Work Directive: All EU members must implement by December 2, 2026; Worker Classification: Ongoing debates about employee vs contractor status; Company Opposition: Uber, Lyft, DoorDash spent $200M+ supporting Proposition 22; On Demand Platforms: Examples: Wonolo, Instawork, BlueCrew for shift-based work; Growth Driver: E-commerce and delivery demand; Census Data: Top industries: Couriers (1.43M), Taxi/Limo (1.36M), Janitorial (1.07M), Artists/Writers (1.04M)</t>
        </is>
      </c>
    </row>
    <row r="135">
      <c r="B135" s="7" t="inlineStr">
        <is>
          <t>Remote Work</t>
        </is>
      </c>
      <c r="D135" s="8" t="inlineStr">
        <is>
          <t>Current State: US Remote Rate: 22.8% of US employees work remotely at least part-time (March 2025); Stability: Remained stable between 21-23% since early 2024; Hybrid Prevalence: 55% of remote-capable workers in hybrid setting; Overall Remote Capable: 80% of remote-capable employees work hybrid (52%) or fully remote (26%); Job Postings Breakdown: Q4 2025: Fully Onsite: 65%; Hybrid: 24%; Fully Remote: 11%; Hybrid Growth: Jumped from 15% (Q2 2023) to 24% (Q2 2025); Onsite Decline: Declined from 83% (Q2 2023) to 66% (Q2 2025); Remote Application Premium: Remote jobs attract 2.6x as many applications as in-person jobs; Remote Postings Growth: Remote postings increased 3% in Q4 2025; Return To Office Mandates: Companies Requiring 5 Days: 2026 Planned: 30% of companies plan to require 5 days by 2026; Examples: Truist, TikTok requiring full return in 2026; Major Companies: Google, Apple, Meta, Microsoft, Netflix requiring 3-4 days/week; Influence Factors: Corporate Influence: 54% of businesses influenced by major corporations returning; Government Influence: 35% influenced by federal government RTO; Employee Backlash: Would Quit: 64% of remote workers would quit or start looking if employer ended remote/hybrid; Job Hunting Trigger: 40% would start job hunting if flexible work removed; Expect Raise: 22% would expect a raise; Immediate Quit: 5% would quit immediately; Gen Z Millennial Response: 65% say they would leave if forced back full-time (Deloitte); Employer Plans: Maintaining Remote: 90% plan to maintain or increase remote work options; No Rto Plans: 88% of hybrid/remote team leaders have no plans for full office return; Retention Benefit: 76% experience greater employee retention by allowing remote work; Remote Work By Industry: Note: Remote job availability varies significantly by industry; Tech: Highest remote/hybrid availability; Healthcare: Limited remote (except telehealth); Manufacturing: Primarily on-site; Finance: Moderate hybrid adoption; Professional Services: High hybrid adoption; Geographic Pay Adjustments: Trend: Ongoing debates about location-based pay vs role-based pay; Digital Nomad Visas: Multiple countries offering visas for international remote workers; Salary Impact: Some companies adjusting pay based on employee location; Remote Job Boards: Platforms: FlexJobs, We Work Remotely, Remote.co, Remotive; Trend: Premium positioning as remote/hybrid becomes a perk rather than standard</t>
        </is>
      </c>
    </row>
    <row r="137" ht="28" customHeight="1">
      <c r="B137" s="3" t="inlineStr">
        <is>
          <t>LINKEDIN BENCHMARKS</t>
        </is>
      </c>
    </row>
    <row r="138">
      <c r="B138" s="2" t="inlineStr">
        <is>
          <t>Based on 108,871 LinkedIn job postings across 76 countries (Joveo SlotOps dataset)</t>
        </is>
      </c>
    </row>
    <row r="140" ht="22" customHeight="1">
      <c r="B140" s="29" t="inlineStr">
        <is>
          <t>Apply Rates: United States</t>
        </is>
      </c>
    </row>
    <row r="141">
      <c r="B141" s="7" t="inlineStr">
        <is>
          <t>Average Apply Rate</t>
        </is>
      </c>
      <c r="D141" s="8" t="inlineStr">
        <is>
          <t>9.1%</t>
        </is>
      </c>
    </row>
    <row r="142">
      <c r="B142" s="7" t="inlineStr">
        <is>
          <t>Median Apply Rate</t>
        </is>
      </c>
      <c r="D142" s="8" t="inlineStr">
        <is>
          <t>6.0%</t>
        </is>
      </c>
    </row>
    <row r="143">
      <c r="B143" s="7" t="inlineStr">
        <is>
          <t>75th Percentile</t>
        </is>
      </c>
      <c r="D143" s="8" t="inlineStr">
        <is>
          <t>14.0%</t>
        </is>
      </c>
    </row>
    <row r="144">
      <c r="B144" s="7" t="inlineStr">
        <is>
          <t>90th Percentile</t>
        </is>
      </c>
      <c r="D144" s="8" t="inlineStr">
        <is>
          <t>22.0%</t>
        </is>
      </c>
    </row>
    <row r="145">
      <c r="B145" s="7" t="inlineStr">
        <is>
          <t>Sample Size</t>
        </is>
      </c>
      <c r="D145" s="8" t="inlineStr">
        <is>
          <t>23,539</t>
        </is>
      </c>
    </row>
    <row r="146">
      <c r="B146" s="7" t="inlineStr">
        <is>
          <t>Avg Views per Posting</t>
        </is>
      </c>
      <c r="D146" s="8" t="inlineStr">
        <is>
          <t>82</t>
        </is>
      </c>
    </row>
    <row r="147">
      <c r="B147" s="7" t="inlineStr">
        <is>
          <t>Avg Days Open</t>
        </is>
      </c>
      <c r="D147" s="8" t="inlineStr">
        <is>
          <t>3.6</t>
        </is>
      </c>
    </row>
    <row r="149" ht="22" customHeight="1">
      <c r="B149" s="29" t="inlineStr">
        <is>
          <t>Easy Apply vs ATS (United States)</t>
        </is>
      </c>
    </row>
    <row r="150" ht="22" customHeight="1">
      <c r="B150" s="9" t="inlineStr">
        <is>
          <t>Apply Type</t>
        </is>
      </c>
      <c r="C150" s="9" t="inlineStr">
        <is>
          <t>Apply Rate</t>
        </is>
      </c>
      <c r="D150" s="9" t="inlineStr">
        <is>
          <t>Sample Size</t>
        </is>
      </c>
      <c r="E150" s="9" t="inlineStr">
        <is>
          <t>Lift Factor</t>
        </is>
      </c>
    </row>
    <row r="151">
      <c r="B151" s="36" t="inlineStr">
        <is>
          <t>Easy Apply</t>
        </is>
      </c>
      <c r="C151" s="36" t="inlineStr">
        <is>
          <t>17.0%</t>
        </is>
      </c>
      <c r="D151" s="36" t="inlineStr">
        <is>
          <t>1,205</t>
        </is>
      </c>
      <c r="E151" s="36" t="inlineStr">
        <is>
          <t>1.81x</t>
        </is>
      </c>
    </row>
    <row r="152">
      <c r="B152" s="41" t="inlineStr">
        <is>
          <t>ATS (Standard)</t>
        </is>
      </c>
      <c r="C152" s="41" t="inlineStr">
        <is>
          <t>9.4%</t>
        </is>
      </c>
      <c r="D152" s="41" t="inlineStr">
        <is>
          <t>44,794</t>
        </is>
      </c>
      <c r="E152" s="41" t="inlineStr">
        <is>
          <t>1.00x (baseline)</t>
        </is>
      </c>
    </row>
    <row r="154">
      <c r="B154" s="2" t="inlineStr">
        <is>
          <t>Recommendation: Easy Apply yields 1.81x higher apply rates than ATS; recommend enabling where available</t>
        </is>
      </c>
    </row>
    <row r="156" ht="22" customHeight="1">
      <c r="B156" s="29" t="inlineStr">
        <is>
          <t>Optimal Posting Schedule</t>
        </is>
      </c>
    </row>
    <row r="157">
      <c r="B157" s="7" t="inlineStr">
        <is>
          <t>Best Posting Days</t>
        </is>
      </c>
      <c r="D157" s="8" t="inlineStr">
        <is>
          <t>Tuesday, Wednesday, Thursday</t>
        </is>
      </c>
    </row>
    <row r="158">
      <c r="B158" s="7" t="inlineStr">
        <is>
          <t>Recommended Refresh Cadence</t>
        </is>
      </c>
      <c r="D158" s="8" t="inlineStr">
        <is>
          <t>Every 8-10 days</t>
        </is>
      </c>
    </row>
    <row r="160" ht="22" customHeight="1">
      <c r="B160" s="29" t="inlineStr">
        <is>
          <t>Role-Specific LinkedIn Performance</t>
        </is>
      </c>
    </row>
    <row r="161" ht="22" customHeight="1">
      <c r="B161" s="9" t="inlineStr">
        <is>
          <t>Target Role</t>
        </is>
      </c>
      <c r="C161" s="9" t="inlineStr">
        <is>
          <t>Matched Title</t>
        </is>
      </c>
      <c r="D161" s="9" t="inlineStr">
        <is>
          <t>Apply Rate</t>
        </is>
      </c>
      <c r="E161" s="9" t="inlineStr">
        <is>
          <t>Avg Views</t>
        </is>
      </c>
      <c r="F161" s="9" t="inlineStr">
        <is>
          <t>Sample</t>
        </is>
      </c>
    </row>
    <row r="162">
      <c r="B162" s="36" t="inlineStr">
        <is>
          <t>commercial cab driver</t>
        </is>
      </c>
      <c r="C162" s="36" t="inlineStr">
        <is>
          <t>Driver</t>
        </is>
      </c>
      <c r="D162" s="36" t="inlineStr">
        <is>
          <t>6.7%</t>
        </is>
      </c>
      <c r="E162" s="36" t="inlineStr">
        <is>
          <t>39</t>
        </is>
      </c>
      <c r="F162" s="36" t="inlineStr">
        <is>
          <t>2,625</t>
        </is>
      </c>
    </row>
    <row r="167" ht="28" customHeight="1">
      <c r="B167" s="3" t="inlineStr">
        <is>
          <t>GEOGRAPHIC COST VARIANCE</t>
        </is>
      </c>
    </row>
    <row r="168" ht="22" customHeight="1">
      <c r="B168" s="9" t="inlineStr">
        <is>
          <t>Market</t>
        </is>
      </c>
      <c r="C168" s="9" t="inlineStr">
        <is>
          <t>Cost Index</t>
        </is>
      </c>
      <c r="D168" s="9" t="inlineStr">
        <is>
          <t>CPC Adjustment</t>
        </is>
      </c>
      <c r="E168" s="9" t="inlineStr">
        <is>
          <t>Impact</t>
        </is>
      </c>
    </row>
    <row r="169">
      <c r="B169" s="36" t="inlineStr">
        <is>
          <t>All listed markets (default index — market-level data pending enrichment)</t>
        </is>
      </c>
      <c r="C169" s="36" t="inlineStr">
        <is>
          <t>1.00x</t>
        </is>
      </c>
      <c r="D169" s="36" t="inlineStr">
        <is>
          <t>+0%</t>
        </is>
      </c>
      <c r="E169" s="36" t="inlineStr">
        <is>
          <t>Average market rate</t>
        </is>
      </c>
    </row>
    <row r="171">
      <c r="B171" s="2" t="inlineStr">
        <is>
          <t>Cost indices are relative to the national average (1.00x). "All listed markets" is the national-default index (confidence: estimated) -- no metro-specific cost data was available to differentiate these locations.</t>
        </is>
      </c>
    </row>
    <row r="174">
      <c r="B174" s="2" t="inlineStr">
        <is>
          <t>Generated by Nova AI Media Plan Generator | July 23, 2026 | Created by Shubham Singh Chandel | Joveo Global Supply Team</t>
        </is>
      </c>
    </row>
  </sheetData>
  <mergeCells count="176">
    <mergeCell ref="B91:C91"/>
    <mergeCell ref="D10:H10"/>
    <mergeCell ref="D81:H81"/>
    <mergeCell ref="D19:H19"/>
    <mergeCell ref="B141:C141"/>
    <mergeCell ref="B55:H55"/>
    <mergeCell ref="D90:H90"/>
    <mergeCell ref="B64:H64"/>
    <mergeCell ref="B95:H95"/>
    <mergeCell ref="B33:H33"/>
    <mergeCell ref="B51:H51"/>
    <mergeCell ref="B12:C12"/>
    <mergeCell ref="D52:H52"/>
    <mergeCell ref="B21:C21"/>
    <mergeCell ref="B86:C86"/>
    <mergeCell ref="B154:H154"/>
    <mergeCell ref="B97:H97"/>
    <mergeCell ref="D11:H11"/>
    <mergeCell ref="B14:C14"/>
    <mergeCell ref="D116:H116"/>
    <mergeCell ref="B138:H138"/>
    <mergeCell ref="B3:H3"/>
    <mergeCell ref="D126:H126"/>
    <mergeCell ref="B13:C13"/>
    <mergeCell ref="D53:H53"/>
    <mergeCell ref="B131:H131"/>
    <mergeCell ref="D47:H47"/>
    <mergeCell ref="B140:H140"/>
    <mergeCell ref="B112:C112"/>
    <mergeCell ref="B2:H2"/>
    <mergeCell ref="B127:C127"/>
    <mergeCell ref="B42:H42"/>
    <mergeCell ref="D9:H9"/>
    <mergeCell ref="D143:H143"/>
    <mergeCell ref="B104:C104"/>
    <mergeCell ref="D133:H133"/>
    <mergeCell ref="D142:H142"/>
    <mergeCell ref="D129:H129"/>
    <mergeCell ref="B103:H103"/>
    <mergeCell ref="B174:H174"/>
    <mergeCell ref="B106:C106"/>
    <mergeCell ref="B129:C129"/>
    <mergeCell ref="B16:C16"/>
    <mergeCell ref="D144:H144"/>
    <mergeCell ref="B90:C90"/>
    <mergeCell ref="D119:H119"/>
    <mergeCell ref="D128:H128"/>
    <mergeCell ref="D80:H80"/>
    <mergeCell ref="B18:C18"/>
    <mergeCell ref="B160:H160"/>
    <mergeCell ref="D105:H105"/>
    <mergeCell ref="B79:H79"/>
    <mergeCell ref="B11:C11"/>
    <mergeCell ref="B117:C117"/>
    <mergeCell ref="D120:H120"/>
    <mergeCell ref="B125:H125"/>
    <mergeCell ref="D107:H107"/>
    <mergeCell ref="B157:C157"/>
    <mergeCell ref="B132:C132"/>
    <mergeCell ref="B53:C53"/>
    <mergeCell ref="D17:H17"/>
    <mergeCell ref="B119:C119"/>
    <mergeCell ref="D91:H91"/>
    <mergeCell ref="B116:C116"/>
    <mergeCell ref="B96:H96"/>
    <mergeCell ref="D43:H43"/>
    <mergeCell ref="D106:H106"/>
    <mergeCell ref="B84:C84"/>
    <mergeCell ref="D146:H146"/>
    <mergeCell ref="B118:C118"/>
    <mergeCell ref="B98:H98"/>
    <mergeCell ref="B158:C158"/>
    <mergeCell ref="B6:C6"/>
    <mergeCell ref="D12:H12"/>
    <mergeCell ref="D83:H83"/>
    <mergeCell ref="B15:C15"/>
    <mergeCell ref="D117:H117"/>
    <mergeCell ref="B88:H88"/>
    <mergeCell ref="B142:C142"/>
    <mergeCell ref="D157:H157"/>
    <mergeCell ref="B80:C80"/>
    <mergeCell ref="B89:C89"/>
    <mergeCell ref="B171:H171"/>
    <mergeCell ref="D132:H132"/>
    <mergeCell ref="D14:H14"/>
    <mergeCell ref="D85:H85"/>
    <mergeCell ref="B144:C144"/>
    <mergeCell ref="B99:H99"/>
    <mergeCell ref="B7:C7"/>
    <mergeCell ref="D109:H109"/>
    <mergeCell ref="B134:C134"/>
    <mergeCell ref="B81:C81"/>
    <mergeCell ref="B121:C121"/>
    <mergeCell ref="D46:H46"/>
    <mergeCell ref="B122:C122"/>
    <mergeCell ref="B5:H5"/>
    <mergeCell ref="B105:C105"/>
    <mergeCell ref="D111:H111"/>
    <mergeCell ref="B43:C43"/>
    <mergeCell ref="B52:C52"/>
    <mergeCell ref="D21:H21"/>
    <mergeCell ref="B94:H94"/>
    <mergeCell ref="D108:H108"/>
    <mergeCell ref="B120:C120"/>
    <mergeCell ref="D104:H104"/>
    <mergeCell ref="B107:C107"/>
    <mergeCell ref="B17:C17"/>
    <mergeCell ref="D145:H145"/>
    <mergeCell ref="B82:C82"/>
    <mergeCell ref="D7:H7"/>
    <mergeCell ref="B44:C44"/>
    <mergeCell ref="D16:H16"/>
    <mergeCell ref="B19:C19"/>
    <mergeCell ref="D147:H147"/>
    <mergeCell ref="B146:C146"/>
    <mergeCell ref="B167:H167"/>
    <mergeCell ref="B70:H70"/>
    <mergeCell ref="D122:H122"/>
    <mergeCell ref="B108:C108"/>
    <mergeCell ref="B9:C9"/>
    <mergeCell ref="D18:H18"/>
    <mergeCell ref="B83:C83"/>
    <mergeCell ref="B23:H23"/>
    <mergeCell ref="B143:C143"/>
    <mergeCell ref="D8:H8"/>
    <mergeCell ref="D121:H121"/>
    <mergeCell ref="B20:C20"/>
    <mergeCell ref="D82:H82"/>
    <mergeCell ref="B73:H73"/>
    <mergeCell ref="B45:C45"/>
    <mergeCell ref="D113:H113"/>
    <mergeCell ref="B85:C85"/>
    <mergeCell ref="B133:C133"/>
    <mergeCell ref="D123:H123"/>
    <mergeCell ref="B126:C126"/>
    <mergeCell ref="D110:H110"/>
    <mergeCell ref="D44:H44"/>
    <mergeCell ref="B135:C135"/>
    <mergeCell ref="B109:C109"/>
    <mergeCell ref="B137:H137"/>
    <mergeCell ref="B47:C47"/>
    <mergeCell ref="D20:H20"/>
    <mergeCell ref="B46:C46"/>
    <mergeCell ref="D84:H84"/>
    <mergeCell ref="B63:H63"/>
    <mergeCell ref="D45:H45"/>
    <mergeCell ref="D158:H158"/>
    <mergeCell ref="B50:H50"/>
    <mergeCell ref="D6:H6"/>
    <mergeCell ref="D86:H86"/>
    <mergeCell ref="B111:C111"/>
    <mergeCell ref="D13:H13"/>
    <mergeCell ref="B145:C145"/>
    <mergeCell ref="B100:H100"/>
    <mergeCell ref="B156:H156"/>
    <mergeCell ref="D141:H141"/>
    <mergeCell ref="B8:C8"/>
    <mergeCell ref="D135:H135"/>
    <mergeCell ref="B115:H115"/>
    <mergeCell ref="B93:H93"/>
    <mergeCell ref="B147:C147"/>
    <mergeCell ref="B149:H149"/>
    <mergeCell ref="B128:C128"/>
    <mergeCell ref="B10:C10"/>
    <mergeCell ref="D112:H112"/>
    <mergeCell ref="D134:H134"/>
    <mergeCell ref="D118:H118"/>
    <mergeCell ref="B67:H67"/>
    <mergeCell ref="D127:H127"/>
    <mergeCell ref="B101:H101"/>
    <mergeCell ref="D15:H15"/>
    <mergeCell ref="D89:H89"/>
    <mergeCell ref="B123:C123"/>
    <mergeCell ref="B78:H78"/>
    <mergeCell ref="B110:C110"/>
    <mergeCell ref="B113:C113"/>
  </mergeCells>
  <pageMargins left="0.75" right="0.75" top="1" bottom="1" header="0.5" footer="0.5"/>
</worksheet>
</file>

<file path=xl/worksheets/sheet4.xml><?xml version="1.0" encoding="utf-8"?>
<worksheet xmlns="http://schemas.openxmlformats.org/spreadsheetml/2006/main">
  <sheetPr>
    <tabColor rgb="008680D6"/>
    <outlinePr summaryBelow="1" summaryRight="1"/>
    <pageSetUpPr/>
  </sheetPr>
  <dimension ref="B2:H31"/>
  <sheetViews>
    <sheetView showGridLines="0" workbookViewId="0">
      <pane xSplit="1" ySplit="8" topLeftCell="B9"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14" customWidth="1" min="3" max="3"/>
    <col width="14" customWidth="1" min="4" max="4"/>
    <col width="14" customWidth="1" min="5" max="5"/>
    <col width="14" customWidth="1" min="6" max="6"/>
    <col width="14" customWidth="1" min="7" max="7"/>
    <col width="18" customWidth="1" min="8" max="8"/>
  </cols>
  <sheetData>
    <row r="2" ht="28" customHeight="1">
      <c r="B2" s="3" t="inlineStr">
        <is>
          <t>DATA CONFIDENCE ASSESSMENT</t>
        </is>
      </c>
    </row>
    <row r="3">
      <c r="B3" s="53" t="inlineStr">
        <is>
          <t>F</t>
        </is>
      </c>
      <c r="D3" s="1" t="inlineStr">
        <is>
          <t>Overall Confidence: 47%</t>
        </is>
      </c>
    </row>
    <row r="4">
      <c r="D4" s="51" t="inlineStr">
        <is>
          <t>Limited data availability — results should be validated</t>
        </is>
      </c>
    </row>
    <row r="5">
      <c r="D5" s="54" t="inlineStr">
        <is>
          <t>Knowledge Base Age: 2 days</t>
        </is>
      </c>
    </row>
    <row r="7" ht="28" customHeight="1">
      <c r="B7" s="3" t="inlineStr">
        <is>
          <t>PER-SECTION CONFIDENCE</t>
        </is>
      </c>
    </row>
    <row r="8" ht="22" customHeight="1">
      <c r="B8" s="9" t="inlineStr">
        <is>
          <t>Section</t>
        </is>
      </c>
      <c r="C8" s="9" t="inlineStr">
        <is>
          <t>Score</t>
        </is>
      </c>
      <c r="D8" s="9" t="inlineStr">
        <is>
          <t>Grade</t>
        </is>
      </c>
      <c r="E8" s="9" t="inlineStr">
        <is>
          <t>Sources</t>
        </is>
      </c>
    </row>
    <row r="9">
      <c r="B9" s="36" t="inlineStr">
        <is>
          <t>Salary Intelligence</t>
        </is>
      </c>
      <c r="C9" s="36" t="inlineStr">
        <is>
          <t>40%</t>
        </is>
      </c>
      <c r="D9" s="50" t="inlineStr">
        <is>
          <t>F</t>
        </is>
      </c>
      <c r="E9" s="36" t="inlineStr"/>
    </row>
    <row r="10">
      <c r="B10" s="41" t="inlineStr">
        <is>
          <t>Per Role Salaries</t>
        </is>
      </c>
      <c r="C10" s="41" t="inlineStr">
        <is>
          <t>50%</t>
        </is>
      </c>
      <c r="D10" s="50" t="inlineStr">
        <is>
          <t>D</t>
        </is>
      </c>
      <c r="E10" s="41" t="inlineStr"/>
    </row>
    <row r="11">
      <c r="B11" s="36" t="inlineStr">
        <is>
          <t>Job Market Demand</t>
        </is>
      </c>
      <c r="C11" s="36" t="inlineStr">
        <is>
          <t>100%</t>
        </is>
      </c>
      <c r="D11" s="47" t="inlineStr">
        <is>
          <t>A</t>
        </is>
      </c>
      <c r="E11" s="36" t="inlineStr"/>
    </row>
    <row r="12">
      <c r="B12" s="41" t="inlineStr">
        <is>
          <t>Location Profiles</t>
        </is>
      </c>
      <c r="C12" s="41" t="inlineStr">
        <is>
          <t>20%</t>
        </is>
      </c>
      <c r="D12" s="50" t="inlineStr">
        <is>
          <t>F</t>
        </is>
      </c>
      <c r="E12" s="41" t="inlineStr"/>
    </row>
    <row r="13">
      <c r="B13" s="36" t="inlineStr">
        <is>
          <t>Ad Platform Analysis</t>
        </is>
      </c>
      <c r="C13" s="36" t="inlineStr">
        <is>
          <t>40%</t>
        </is>
      </c>
      <c r="D13" s="50" t="inlineStr">
        <is>
          <t>F</t>
        </is>
      </c>
      <c r="E13" s="36" t="inlineStr"/>
    </row>
    <row r="14">
      <c r="B14" s="41" t="inlineStr">
        <is>
          <t>Competitive Intelligence</t>
        </is>
      </c>
      <c r="C14" s="41" t="inlineStr">
        <is>
          <t>20%</t>
        </is>
      </c>
      <c r="D14" s="50" t="inlineStr">
        <is>
          <t>F</t>
        </is>
      </c>
      <c r="E14" s="41" t="inlineStr"/>
    </row>
    <row r="15">
      <c r="B15" s="36" t="inlineStr">
        <is>
          <t>Workforce Insights</t>
        </is>
      </c>
      <c r="C15" s="36" t="inlineStr">
        <is>
          <t>60%</t>
        </is>
      </c>
      <c r="D15" s="50" t="inlineStr">
        <is>
          <t>D</t>
        </is>
      </c>
      <c r="E15" s="36" t="inlineStr"/>
    </row>
    <row r="18" ht="28" customHeight="1">
      <c r="B18" s="3" t="inlineStr">
        <is>
          <t>DATA PROVENANCE &amp; VINTAGE</t>
        </is>
      </c>
    </row>
    <row r="19" ht="28" customHeight="1">
      <c r="B19" s="55" t="inlineStr">
        <is>
          <t>Every figure in this plan is traceable to a source. The table below lists the data sources used, the vintage (period the data describes), and the confidence tag attached at ingestion.</t>
        </is>
      </c>
    </row>
    <row r="21" ht="22" customHeight="1">
      <c r="B21" s="9" t="inlineStr">
        <is>
          <t>Data Source</t>
        </is>
      </c>
      <c r="C21" s="9" t="inlineStr">
        <is>
          <t>Vintage</t>
        </is>
      </c>
      <c r="D21" s="9" t="inlineStr">
        <is>
          <t>Confidence</t>
        </is>
      </c>
    </row>
    <row r="22">
      <c r="B22" s="36" t="inlineStr">
        <is>
          <t>Joveo Knowledge Base (benchmarks)</t>
        </is>
      </c>
      <c r="C22" s="36" t="inlineStr">
        <is>
          <t>2 days old</t>
        </is>
      </c>
      <c r="D22" s="56" t="inlineStr">
        <is>
          <t>High</t>
        </is>
      </c>
    </row>
    <row r="25" ht="28" customHeight="1">
      <c r="B25" s="3" t="inlineStr">
        <is>
          <t>METHODOLOGY &amp; DATA HIERARCHY</t>
        </is>
      </c>
    </row>
    <row r="26">
      <c r="B26" s="7" t="inlineStr">
        <is>
          <t>Priority 1: Client Data</t>
        </is>
      </c>
      <c r="D26" s="8" t="inlineStr">
        <is>
          <t>Client-provided data (uploaded briefs, historical campaign data) takes highest precedence.</t>
        </is>
      </c>
    </row>
    <row r="27">
      <c r="B27" s="7" t="inlineStr">
        <is>
          <t>Priority 2: Real-Time Market Data</t>
        </is>
      </c>
      <c r="D27" s="8" t="inlineStr">
        <is>
          <t>Real-time data from multiple validated government, industry, and market sources provides current market signals.</t>
        </is>
      </c>
    </row>
    <row r="28">
      <c r="B28" s="7" t="inlineStr">
        <is>
          <t>Priority 3: Industry Benchmarks</t>
        </is>
      </c>
      <c r="D28" s="8" t="inlineStr">
        <is>
          <t>Curated industry benchmarks and validated reports provide baseline data for cost and performance estimates.</t>
        </is>
      </c>
    </row>
    <row r="29">
      <c r="B29" s="7" t="inlineStr">
        <is>
          <t>Priority 4: Curated Fallbacks</t>
        </is>
      </c>
      <c r="D29" s="8" t="inlineStr">
        <is>
          <t>Embedded fallback data ensures coverage when real-time sources are temporarily unavailable.</t>
        </is>
      </c>
    </row>
    <row r="31">
      <c r="B31" s="55" t="inlineStr">
        <is>
          <t>Note: Data is sourced from government agencies, independent research bodies, and validated industry benchmarks. Vendor-originated data receives lower confidence weighting to reduce potential bias.</t>
        </is>
      </c>
    </row>
  </sheetData>
  <mergeCells count="18">
    <mergeCell ref="D26:H26"/>
    <mergeCell ref="B18:H18"/>
    <mergeCell ref="B26:C26"/>
    <mergeCell ref="B29:C29"/>
    <mergeCell ref="B27:C27"/>
    <mergeCell ref="B3:C5"/>
    <mergeCell ref="B28:C28"/>
    <mergeCell ref="D27:H27"/>
    <mergeCell ref="D5:H5"/>
    <mergeCell ref="B2:H2"/>
    <mergeCell ref="D28:H28"/>
    <mergeCell ref="D29:H29"/>
    <mergeCell ref="B7:H7"/>
    <mergeCell ref="B25:H25"/>
    <mergeCell ref="D4:H4"/>
    <mergeCell ref="B31:H31"/>
    <mergeCell ref="B19:H19"/>
    <mergeCell ref="D3:H3"/>
  </mergeCells>
  <pageMargins left="0.75" right="0.75" top="1" bottom="1" header="0.5" footer="0.5"/>
</worksheet>
</file>

<file path=xl/worksheets/sheet5.xml><?xml version="1.0" encoding="utf-8"?>
<worksheet xmlns="http://schemas.openxmlformats.org/spreadsheetml/2006/main">
  <sheetPr>
    <tabColor rgb="005A54BE"/>
    <outlinePr summaryBelow="1" summaryRight="1"/>
    <pageSetUpPr/>
  </sheetPr>
  <dimension ref="B2:K34"/>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3" customWidth="1" min="1" max="1"/>
    <col width="24" customWidth="1" min="2" max="2"/>
    <col width="16" customWidth="1" min="3" max="3"/>
    <col width="18" customWidth="1" min="4" max="4"/>
    <col width="16" customWidth="1" min="5" max="5"/>
    <col width="14" customWidth="1" min="6" max="6"/>
    <col width="20" customWidth="1" min="7" max="7"/>
    <col width="16" customWidth="1" min="8" max="8"/>
    <col width="18" customWidth="1" min="9" max="9"/>
    <col width="12" customWidth="1" min="10" max="10"/>
    <col width="40" customWidth="1" min="11" max="11"/>
  </cols>
  <sheetData>
    <row r="2" ht="28" customHeight="1">
      <c r="B2" s="3" t="inlineStr">
        <is>
          <t>ROI PROJECTIONS &amp; HIRE FORECAST</t>
        </is>
      </c>
    </row>
    <row r="3">
      <c r="B3" s="57" t="inlineStr">
        <is>
          <t>Total Budget</t>
        </is>
      </c>
      <c r="C3" s="57" t="inlineStr">
        <is>
          <t>Total Proj. Hires</t>
        </is>
      </c>
      <c r="D3" s="57" t="inlineStr">
        <is>
          <t>Avg Cost/Hire</t>
        </is>
      </c>
      <c r="E3" s="57" t="inlineStr">
        <is>
          <t>Avg Time to Fill</t>
        </is>
      </c>
    </row>
    <row r="4">
      <c r="B4" s="58" t="n">
        <v>1999999.98</v>
      </c>
      <c r="C4" s="59" t="n">
        <v>1230</v>
      </c>
      <c r="D4" s="60" t="n">
        <v>1626.02</v>
      </c>
      <c r="E4" s="61" t="n">
        <v>25</v>
      </c>
    </row>
    <row r="6" ht="22" customHeight="1">
      <c r="B6" s="29" t="inlineStr">
        <is>
          <t>Per-Channel ROI Analysis</t>
        </is>
      </c>
    </row>
    <row r="7" ht="22" customHeight="1">
      <c r="B7" s="9" t="inlineStr">
        <is>
          <t>Channel Name</t>
        </is>
      </c>
      <c r="C7" s="9" t="inlineStr">
        <is>
          <t>Budget (£)</t>
        </is>
      </c>
      <c r="D7" s="9" t="inlineStr">
        <is>
          <t>Proj. Applications</t>
        </is>
      </c>
      <c r="E7" s="9" t="inlineStr">
        <is>
          <t>Proj. Hires</t>
        </is>
      </c>
      <c r="F7" s="9" t="inlineStr">
        <is>
          <t>Confidence</t>
        </is>
      </c>
      <c r="G7" s="9" t="inlineStr">
        <is>
          <t>Hire Range</t>
        </is>
      </c>
      <c r="H7" s="9" t="inlineStr">
        <is>
          <t>Cost Per Hire</t>
        </is>
      </c>
      <c r="I7" s="9" t="inlineStr">
        <is>
          <t>Time to Fill</t>
        </is>
      </c>
      <c r="J7" s="9" t="inlineStr">
        <is>
          <t>ROI Score</t>
        </is>
      </c>
      <c r="K7" s="9" t="inlineStr">
        <is>
          <t>Notes</t>
        </is>
      </c>
    </row>
    <row r="8">
      <c r="B8" s="41" t="inlineStr">
        <is>
          <t>Programmatic (DSP)</t>
        </is>
      </c>
      <c r="C8" s="43" t="n">
        <v>561772.41</v>
      </c>
      <c r="D8" s="62" t="n">
        <v>146549</v>
      </c>
      <c r="E8" s="62" t="n">
        <v>566</v>
      </c>
      <c r="F8" s="49" t="inlineStr">
        <is>
          <t>MEDIUM</t>
        </is>
      </c>
      <c r="G8" s="41" t="inlineStr">
        <is>
          <t>452 - 679</t>
        </is>
      </c>
      <c r="H8" s="43" t="n">
        <v>992.53</v>
      </c>
      <c r="I8" s="63" t="n">
        <v>24</v>
      </c>
      <c r="J8" s="64" t="n">
        <v>10</v>
      </c>
      <c r="K8" s="41" t="inlineStr"/>
    </row>
    <row r="9">
      <c r="B9" s="36" t="inlineStr">
        <is>
          <t>Global Job Boards</t>
        </is>
      </c>
      <c r="C9" s="38" t="n">
        <v>386172.41</v>
      </c>
      <c r="D9" s="65" t="n">
        <v>22248</v>
      </c>
      <c r="E9" s="65" t="n">
        <v>132</v>
      </c>
      <c r="F9" s="49" t="inlineStr">
        <is>
          <t>MEDIUM</t>
        </is>
      </c>
      <c r="G9" s="36" t="inlineStr">
        <is>
          <t>105 - 158</t>
        </is>
      </c>
      <c r="H9" s="38" t="n">
        <v>2925.55</v>
      </c>
      <c r="I9" s="66" t="n">
        <v>26</v>
      </c>
      <c r="J9" s="64" t="n">
        <v>8</v>
      </c>
      <c r="K9" s="36" t="inlineStr"/>
    </row>
    <row r="10">
      <c r="B10" s="41" t="inlineStr">
        <is>
          <t>Social Media</t>
        </is>
      </c>
      <c r="C10" s="43" t="n">
        <v>273337.93</v>
      </c>
      <c r="D10" s="62" t="n">
        <v>2609</v>
      </c>
      <c r="E10" s="62" t="n">
        <v>7</v>
      </c>
      <c r="F10" s="49" t="inlineStr">
        <is>
          <t>MEDIUM</t>
        </is>
      </c>
      <c r="G10" s="41" t="inlineStr">
        <is>
          <t>5 - 8</t>
        </is>
      </c>
      <c r="H10" s="43" t="n">
        <v>39048.28</v>
      </c>
      <c r="I10" s="63" t="n">
        <v>28</v>
      </c>
      <c r="J10" s="67" t="n">
        <v>1</v>
      </c>
      <c r="K10" s="41" t="inlineStr"/>
    </row>
    <row r="11">
      <c r="B11" s="36" t="inlineStr">
        <is>
          <t>Regional Job Boards</t>
        </is>
      </c>
      <c r="C11" s="38" t="n">
        <v>267572.41</v>
      </c>
      <c r="D11" s="65" t="n">
        <v>42943</v>
      </c>
      <c r="E11" s="65" t="n">
        <v>204</v>
      </c>
      <c r="F11" s="49" t="inlineStr">
        <is>
          <t>MEDIUM</t>
        </is>
      </c>
      <c r="G11" s="36" t="inlineStr">
        <is>
          <t>163 - 244</t>
        </is>
      </c>
      <c r="H11" s="38" t="n">
        <v>1311.63</v>
      </c>
      <c r="I11" s="66" t="n">
        <v>26</v>
      </c>
      <c r="J11" s="64" t="n">
        <v>9</v>
      </c>
      <c r="K11" s="36" t="inlineStr"/>
    </row>
    <row r="12">
      <c r="B12" s="41" t="inlineStr">
        <is>
          <t>APAC Regional</t>
        </is>
      </c>
      <c r="C12" s="43" t="n">
        <v>195572.41</v>
      </c>
      <c r="D12" s="62" t="n">
        <v>31387</v>
      </c>
      <c r="E12" s="62" t="n">
        <v>149</v>
      </c>
      <c r="F12" s="49" t="inlineStr">
        <is>
          <t>MEDIUM</t>
        </is>
      </c>
      <c r="G12" s="41" t="inlineStr">
        <is>
          <t>119 - 178</t>
        </is>
      </c>
      <c r="H12" s="43" t="n">
        <v>1312.57</v>
      </c>
      <c r="I12" s="63" t="n">
        <v>26</v>
      </c>
      <c r="J12" s="64" t="n">
        <v>9</v>
      </c>
      <c r="K12" s="41" t="inlineStr"/>
    </row>
    <row r="13">
      <c r="B13" s="36" t="inlineStr">
        <is>
          <t>EMEA Regional</t>
        </is>
      </c>
      <c r="C13" s="38" t="n">
        <v>195572.41</v>
      </c>
      <c r="D13" s="65" t="n">
        <v>31387</v>
      </c>
      <c r="E13" s="65" t="n">
        <v>149</v>
      </c>
      <c r="F13" s="49" t="inlineStr">
        <is>
          <t>MEDIUM</t>
        </is>
      </c>
      <c r="G13" s="36" t="inlineStr">
        <is>
          <t>119 - 178</t>
        </is>
      </c>
      <c r="H13" s="38" t="n">
        <v>1312.57</v>
      </c>
      <c r="I13" s="66" t="n">
        <v>26</v>
      </c>
      <c r="J13" s="64" t="n">
        <v>9</v>
      </c>
      <c r="K13" s="36" t="inlineStr"/>
    </row>
    <row r="14">
      <c r="B14" s="41" t="inlineStr">
        <is>
          <t>Niche / Industry Boards</t>
        </is>
      </c>
      <c r="C14" s="43" t="n">
        <v>60000</v>
      </c>
      <c r="D14" s="62" t="n">
        <v>2999</v>
      </c>
      <c r="E14" s="62" t="n">
        <v>23</v>
      </c>
      <c r="F14" s="50" t="inlineStr">
        <is>
          <t>LOW</t>
        </is>
      </c>
      <c r="G14" s="41" t="inlineStr">
        <is>
          <t>17 - 28</t>
        </is>
      </c>
      <c r="H14" s="43" t="n">
        <v>2608.7</v>
      </c>
      <c r="I14" s="63" t="n">
        <v>22</v>
      </c>
      <c r="J14" s="64" t="n">
        <v>8</v>
      </c>
      <c r="K14" s="41" t="inlineStr"/>
    </row>
    <row r="15">
      <c r="B15" s="36" t="inlineStr">
        <is>
          <t>Employer Branding</t>
        </is>
      </c>
      <c r="C15" s="38" t="n">
        <v>60000</v>
      </c>
      <c r="D15" s="65" t="n">
        <v>1599</v>
      </c>
      <c r="E15" s="65" t="n">
        <v>0</v>
      </c>
      <c r="F15" s="50" t="inlineStr">
        <is>
          <t>LOW</t>
        </is>
      </c>
      <c r="G15" s="36" t="inlineStr">
        <is>
          <t>0</t>
        </is>
      </c>
      <c r="H15" s="36" t="inlineStr">
        <is>
          <t>—</t>
        </is>
      </c>
      <c r="I15" s="66" t="n">
        <v>32</v>
      </c>
      <c r="J15" s="67" t="n">
        <v>1</v>
      </c>
      <c r="K15" s="36" t="inlineStr">
        <is>
          <t>Brand &amp; awareness investment — measured in reach and pipeline influence, not direct CPA</t>
        </is>
      </c>
    </row>
    <row r="17" ht="22" customHeight="1">
      <c r="B17" s="29" t="inlineStr">
        <is>
          <t>Recruitment Funnel</t>
        </is>
      </c>
    </row>
    <row r="18" ht="22" customHeight="1">
      <c r="B18" s="9" t="inlineStr">
        <is>
          <t>Channel Name</t>
        </is>
      </c>
      <c r="C18" s="9" t="inlineStr">
        <is>
          <t>Clicks</t>
        </is>
      </c>
      <c r="D18" s="9" t="inlineStr">
        <is>
          <t>Applications</t>
        </is>
      </c>
      <c r="E18" s="9" t="inlineStr">
        <is>
          <t>Qualified</t>
        </is>
      </c>
      <c r="F18" s="9" t="inlineStr">
        <is>
          <t>Interviews</t>
        </is>
      </c>
      <c r="G18" s="9" t="inlineStr">
        <is>
          <t>Hires</t>
        </is>
      </c>
      <c r="H18" s="9" t="inlineStr">
        <is>
          <t>App→Qualified</t>
        </is>
      </c>
      <c r="I18" s="9" t="inlineStr">
        <is>
          <t>Qualified→Interview</t>
        </is>
      </c>
      <c r="J18" s="9" t="inlineStr">
        <is>
          <t>Interview→Hire</t>
        </is>
      </c>
    </row>
    <row r="19">
      <c r="B19" s="41" t="inlineStr">
        <is>
          <t>Programmatic (DSP)</t>
        </is>
      </c>
      <c r="C19" s="62" t="n">
        <v>2442488</v>
      </c>
      <c r="D19" s="62" t="n">
        <v>146549</v>
      </c>
      <c r="E19" s="62" t="n">
        <v>18867</v>
      </c>
      <c r="F19" s="62" t="n">
        <v>3774</v>
      </c>
      <c r="G19" s="62" t="n">
        <v>566</v>
      </c>
      <c r="H19" s="42" t="n">
        <v>0.1287</v>
      </c>
      <c r="I19" s="42" t="n">
        <v>0.2</v>
      </c>
      <c r="J19" s="42" t="n">
        <v>0.15</v>
      </c>
    </row>
    <row r="20">
      <c r="B20" s="36" t="inlineStr">
        <is>
          <t>Global Job Boards</t>
        </is>
      </c>
      <c r="C20" s="65" t="n">
        <v>238378</v>
      </c>
      <c r="D20" s="65" t="n">
        <v>22248</v>
      </c>
      <c r="E20" s="65" t="n">
        <v>3590</v>
      </c>
      <c r="F20" s="65" t="n">
        <v>718</v>
      </c>
      <c r="G20" s="65" t="n">
        <v>132</v>
      </c>
      <c r="H20" s="37" t="n">
        <v>0.1614</v>
      </c>
      <c r="I20" s="37" t="n">
        <v>0.2</v>
      </c>
      <c r="J20" s="37" t="n">
        <v>0.1838</v>
      </c>
    </row>
    <row r="21">
      <c r="B21" s="41" t="inlineStr">
        <is>
          <t>Social Media</t>
        </is>
      </c>
      <c r="C21" s="62" t="n">
        <v>105129</v>
      </c>
      <c r="D21" s="62" t="n">
        <v>2609</v>
      </c>
      <c r="E21" s="62" t="n">
        <v>209</v>
      </c>
      <c r="F21" s="62" t="n">
        <v>42</v>
      </c>
      <c r="G21" s="62" t="n">
        <v>7</v>
      </c>
      <c r="H21" s="42" t="n">
        <v>0.08</v>
      </c>
      <c r="I21" s="42" t="n">
        <v>0.2</v>
      </c>
      <c r="J21" s="42" t="n">
        <v>0.1677</v>
      </c>
    </row>
    <row r="22">
      <c r="B22" s="36" t="inlineStr">
        <is>
          <t>Regional Job Boards</t>
        </is>
      </c>
      <c r="C22" s="65" t="n">
        <v>637077</v>
      </c>
      <c r="D22" s="65" t="n">
        <v>42943</v>
      </c>
      <c r="E22" s="65" t="n">
        <v>6175</v>
      </c>
      <c r="F22" s="65" t="n">
        <v>1235</v>
      </c>
      <c r="G22" s="65" t="n">
        <v>204</v>
      </c>
      <c r="H22" s="37" t="n">
        <v>0.1438</v>
      </c>
      <c r="I22" s="37" t="n">
        <v>0.2</v>
      </c>
      <c r="J22" s="37" t="n">
        <v>0.1652</v>
      </c>
    </row>
    <row r="23">
      <c r="B23" s="41" t="inlineStr">
        <is>
          <t>APAC Regional</t>
        </is>
      </c>
      <c r="C23" s="62" t="n">
        <v>465648</v>
      </c>
      <c r="D23" s="62" t="n">
        <v>31387</v>
      </c>
      <c r="E23" s="62" t="n">
        <v>4512</v>
      </c>
      <c r="F23" s="62" t="n">
        <v>903</v>
      </c>
      <c r="G23" s="62" t="n">
        <v>149</v>
      </c>
      <c r="H23" s="42" t="n">
        <v>0.1438</v>
      </c>
      <c r="I23" s="42" t="n">
        <v>0.2</v>
      </c>
      <c r="J23" s="42" t="n">
        <v>0.1651</v>
      </c>
    </row>
    <row r="24">
      <c r="B24" s="36" t="inlineStr">
        <is>
          <t>EMEA Regional</t>
        </is>
      </c>
      <c r="C24" s="65" t="n">
        <v>465648</v>
      </c>
      <c r="D24" s="65" t="n">
        <v>31387</v>
      </c>
      <c r="E24" s="65" t="n">
        <v>4512</v>
      </c>
      <c r="F24" s="65" t="n">
        <v>902</v>
      </c>
      <c r="G24" s="65" t="n">
        <v>149</v>
      </c>
      <c r="H24" s="37" t="n">
        <v>0.1438</v>
      </c>
      <c r="I24" s="37" t="n">
        <v>0.2</v>
      </c>
      <c r="J24" s="37" t="n">
        <v>0.1651</v>
      </c>
    </row>
    <row r="25">
      <c r="B25" s="41" t="inlineStr">
        <is>
          <t>Niche / Industry Boards</t>
        </is>
      </c>
      <c r="C25" s="62" t="n">
        <v>42857</v>
      </c>
      <c r="D25" s="62" t="n">
        <v>2999</v>
      </c>
      <c r="E25" s="62" t="n">
        <v>767</v>
      </c>
      <c r="F25" s="62" t="n">
        <v>153</v>
      </c>
      <c r="G25" s="62" t="n">
        <v>23</v>
      </c>
      <c r="H25" s="42" t="n">
        <v>0.2556</v>
      </c>
      <c r="I25" s="42" t="n">
        <v>0.2</v>
      </c>
      <c r="J25" s="42" t="n">
        <v>0.15</v>
      </c>
    </row>
    <row r="26">
      <c r="B26" s="36" t="inlineStr">
        <is>
          <t>Employer Branding</t>
        </is>
      </c>
      <c r="C26" s="65" t="n">
        <v>66666</v>
      </c>
      <c r="D26" s="65" t="n">
        <v>1599</v>
      </c>
      <c r="E26" s="65" t="n">
        <v>304</v>
      </c>
      <c r="F26" s="65" t="n">
        <v>106</v>
      </c>
      <c r="G26" s="36" t="inlineStr">
        <is>
          <t>—</t>
        </is>
      </c>
      <c r="H26" s="37" t="n">
        <v>0.19</v>
      </c>
      <c r="I26" s="37" t="n">
        <v>0.35</v>
      </c>
      <c r="J26" s="36" t="inlineStr">
        <is>
          <t>—</t>
        </is>
      </c>
    </row>
    <row r="27">
      <c r="B27" s="68" t="inlineStr">
        <is>
          <t>TOTAL</t>
        </is>
      </c>
      <c r="C27" s="69" t="n">
        <v>4463891</v>
      </c>
      <c r="D27" s="69" t="n">
        <v>281721</v>
      </c>
      <c r="E27" s="69" t="n">
        <v>38936</v>
      </c>
      <c r="F27" s="69" t="n">
        <v>7833</v>
      </c>
      <c r="G27" s="69" t="n">
        <v>1230</v>
      </c>
      <c r="H27" s="70" t="n">
        <v>0.1382</v>
      </c>
      <c r="I27" s="70" t="n">
        <v>0.2012</v>
      </c>
      <c r="J27" s="70" t="n">
        <v>0.157</v>
      </c>
    </row>
    <row r="29">
      <c r="B29" s="2" t="inlineStr">
        <is>
          <t>Planning-assumption bands: App→Qualified 8%-30%, Qualified→Interview 20%-50%, Interview→Hire 15%-35% (programmatic/high-volume channels skew toward the low end of App→Qualified; niche/referral channels skew toward the high end).</t>
        </is>
      </c>
    </row>
    <row r="30">
      <c r="B30" s="2" t="inlineStr">
        <is>
          <t>Methodology: hire totals are anchored to industry cost-per-hire benchmarks (not to this funnel); the stage rates above are planning assumptions fitted within the stated bands so their product reproduces this plan's own hires ÷ applications rate exactly per channel -- they explain the math, they do not drive it.</t>
        </is>
      </c>
    </row>
    <row r="31">
      <c r="B31" s="2" t="inlineStr">
        <is>
          <t>ROI Score: 9-10 = Excellent, 7-8 = Good, 4-6 = Average, 1-3 = Below Average.</t>
        </is>
      </c>
    </row>
    <row r="32">
      <c r="B32" s="2" t="inlineStr">
        <is>
          <t>Model vs. benchmark: this plan's blended CPA (£7.10) sits below the cited benchmark floor (£10) and this plan's blended apply rate (6.3%) sits above the cited benchmark ceiling (6.0%). This is a deliberate modeling position, not an error: programmatic buying and ML bid optimization price applications below posted-rate benchmarks; benchmark ranges reflect classic post-and-pray channel pricing.</t>
        </is>
      </c>
    </row>
    <row r="34">
      <c r="B34" s="2" t="inlineStr">
        <is>
          <t>Generated by Nova AI Media Plan Generator | July 23, 2026 | Created by Shubham Singh Chandel | Joveo Global Supply Team</t>
        </is>
      </c>
    </row>
  </sheetData>
  <mergeCells count="8">
    <mergeCell ref="B32:H32"/>
    <mergeCell ref="B17:H17"/>
    <mergeCell ref="B6:H6"/>
    <mergeCell ref="B30:H30"/>
    <mergeCell ref="B2:H2"/>
    <mergeCell ref="B29:H29"/>
    <mergeCell ref="B34:H34"/>
    <mergeCell ref="B31:H31"/>
  </mergeCells>
  <pageMargins left="0.75" right="0.75" top="1" bottom="1" header="0.5" footer="0.5"/>
</worksheet>
</file>

<file path=xl/worksheets/sheet6.xml><?xml version="1.0" encoding="utf-8"?>
<worksheet xmlns="http://schemas.openxmlformats.org/spreadsheetml/2006/main">
  <sheetPr>
    <tabColor rgb="006BB5CE"/>
    <outlinePr summaryBelow="1" summaryRight="1"/>
    <pageSetUpPr/>
  </sheetPr>
  <dimension ref="B2:J99"/>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2" customWidth="1" min="1" max="1"/>
    <col width="22" customWidth="1" min="2" max="2"/>
    <col width="18" customWidth="1" min="3" max="3"/>
    <col width="18" customWidth="1" min="4" max="4"/>
    <col width="18" customWidth="1" min="5" max="5"/>
    <col width="18" customWidth="1" min="6" max="6"/>
    <col width="18" customWidth="1" min="7" max="7"/>
    <col width="18" customWidth="1" min="8" max="8"/>
  </cols>
  <sheetData>
    <row r="2" ht="28" customHeight="1">
      <c r="B2" s="3" t="inlineStr">
        <is>
          <t>QUALITY INTELLIGENCE — GOLD STANDARD GATES</t>
        </is>
      </c>
    </row>
    <row r="4">
      <c r="B4" s="2" t="inlineStr">
        <is>
          <t>Gold Standard quality gate analysis for Uber | Industry: Hospitality &amp; Travel | Generated July 23, 2026</t>
        </is>
      </c>
    </row>
    <row r="6" ht="22" customHeight="1">
      <c r="B6" s="29" t="inlineStr">
        <is>
          <t>City-Level Supply-Demand Data</t>
        </is>
      </c>
    </row>
    <row r="7" ht="22" customHeight="1">
      <c r="B7" s="9" t="inlineStr">
        <is>
          <t>Market</t>
        </is>
      </c>
      <c r="C7" s="9" t="inlineStr">
        <is>
          <t>Salary Multiplier</t>
        </is>
      </c>
      <c r="D7" s="9" t="inlineStr">
        <is>
          <t>Estimated Salary</t>
        </is>
      </c>
      <c r="E7" s="9" t="inlineStr">
        <is>
          <t>Hiring Difficulty</t>
        </is>
      </c>
      <c r="F7" s="9" t="inlineStr">
        <is>
          <t>Supply Tier</t>
        </is>
      </c>
      <c r="G7" s="9" t="inlineStr">
        <is>
          <t>COL Index</t>
        </is>
      </c>
      <c r="H7" s="9" t="inlineStr">
        <is>
          <t>Salary Range</t>
        </is>
      </c>
    </row>
    <row r="8">
      <c r="B8" s="36" t="inlineStr">
        <is>
          <t>Uk</t>
        </is>
      </c>
      <c r="C8" s="36" t="inlineStr">
        <is>
          <t>0.85x</t>
        </is>
      </c>
      <c r="D8" s="38" t="n">
        <v>34000</v>
      </c>
      <c r="E8" s="36" t="inlineStr">
        <is>
          <t>6.8/10</t>
        </is>
      </c>
      <c r="F8" s="36" t="inlineStr">
        <is>
          <t>Tight</t>
        </is>
      </c>
      <c r="G8" s="36" t="inlineStr">
        <is>
          <t>80.0</t>
        </is>
      </c>
      <c r="H8" s="36" t="inlineStr">
        <is>
          <t>$25,500 - $42,500</t>
        </is>
      </c>
    </row>
    <row r="9">
      <c r="B9" s="41" t="inlineStr">
        <is>
          <t>Australia</t>
        </is>
      </c>
      <c r="C9" s="41" t="inlineStr">
        <is>
          <t>0.90x</t>
        </is>
      </c>
      <c r="D9" s="43" t="n">
        <v>36000</v>
      </c>
      <c r="E9" s="41" t="inlineStr">
        <is>
          <t>6.5/10</t>
        </is>
      </c>
      <c r="F9" s="41" t="inlineStr">
        <is>
          <t>Tight</t>
        </is>
      </c>
      <c r="G9" s="41" t="inlineStr">
        <is>
          <t>82.0</t>
        </is>
      </c>
      <c r="H9" s="41" t="inlineStr">
        <is>
          <t>$27,000 - $45,000</t>
        </is>
      </c>
    </row>
    <row r="10">
      <c r="B10" s="36" t="inlineStr">
        <is>
          <t>Mexico</t>
        </is>
      </c>
      <c r="C10" s="36" t="inlineStr">
        <is>
          <t>0.20x</t>
        </is>
      </c>
      <c r="D10" s="38" t="n">
        <v>8000</v>
      </c>
      <c r="E10" s="36" t="inlineStr">
        <is>
          <t>3.5/10</t>
        </is>
      </c>
      <c r="F10" s="36" t="inlineStr">
        <is>
          <t>Abundant</t>
        </is>
      </c>
      <c r="G10" s="36" t="inlineStr">
        <is>
          <t>30.0</t>
        </is>
      </c>
      <c r="H10" s="36" t="inlineStr">
        <is>
          <t>$6,000 - $10,000</t>
        </is>
      </c>
    </row>
    <row r="11">
      <c r="B11" s="41" t="inlineStr">
        <is>
          <t>Argentina</t>
        </is>
      </c>
      <c r="C11" s="41" t="inlineStr">
        <is>
          <t>0.12x</t>
        </is>
      </c>
      <c r="D11" s="43" t="n">
        <v>4800</v>
      </c>
      <c r="E11" s="41" t="inlineStr">
        <is>
          <t>3.5/10</t>
        </is>
      </c>
      <c r="F11" s="41" t="inlineStr">
        <is>
          <t>Abundant</t>
        </is>
      </c>
      <c r="G11" s="41" t="inlineStr">
        <is>
          <t>25.0</t>
        </is>
      </c>
      <c r="H11" s="41" t="inlineStr">
        <is>
          <t>$3,600 - $6,000</t>
        </is>
      </c>
    </row>
    <row r="12">
      <c r="B12" s="36" t="inlineStr">
        <is>
          <t>Canada</t>
        </is>
      </c>
      <c r="C12" s="36" t="inlineStr">
        <is>
          <t>0.85x</t>
        </is>
      </c>
      <c r="D12" s="38" t="n">
        <v>34000</v>
      </c>
      <c r="E12" s="36" t="inlineStr">
        <is>
          <t>6.5/10</t>
        </is>
      </c>
      <c r="F12" s="36" t="inlineStr">
        <is>
          <t>Tight</t>
        </is>
      </c>
      <c r="G12" s="36" t="inlineStr">
        <is>
          <t>75.0</t>
        </is>
      </c>
      <c r="H12" s="36" t="inlineStr">
        <is>
          <t>$25,500 - $42,500</t>
        </is>
      </c>
    </row>
    <row r="13">
      <c r="B13" s="41" t="inlineStr">
        <is>
          <t>New Zealand</t>
        </is>
      </c>
      <c r="C13" s="41" t="inlineStr">
        <is>
          <t>0.75x</t>
        </is>
      </c>
      <c r="D13" s="43" t="n">
        <v>30000</v>
      </c>
      <c r="E13" s="41" t="inlineStr">
        <is>
          <t>6.0/10</t>
        </is>
      </c>
      <c r="F13" s="41" t="inlineStr">
        <is>
          <t>Balanced</t>
        </is>
      </c>
      <c r="G13" s="41" t="inlineStr">
        <is>
          <t>72.0</t>
        </is>
      </c>
      <c r="H13" s="41" t="inlineStr">
        <is>
          <t>$22,500 - $37,500</t>
        </is>
      </c>
    </row>
    <row r="14">
      <c r="B14" s="2" t="inlineStr">
        <is>
          <t>Salary multipliers relative to national average. Hiring difficulty: 1 (easy) to 10 (hardest).</t>
        </is>
      </c>
    </row>
    <row r="16" ht="22" customHeight="1">
      <c r="B16" s="29" t="inlineStr">
        <is>
          <t>Salary Intelligence — estimated where noted</t>
        </is>
      </c>
    </row>
    <row r="17" ht="22" customHeight="1">
      <c r="B17" s="9" t="inlineStr">
        <is>
          <t>City</t>
        </is>
      </c>
      <c r="C17" s="9" t="inlineStr">
        <is>
          <t>Role</t>
        </is>
      </c>
      <c r="D17" s="9" t="inlineStr">
        <is>
          <t>Min Salary</t>
        </is>
      </c>
      <c r="E17" s="9" t="inlineStr">
        <is>
          <t>P25</t>
        </is>
      </c>
      <c r="F17" s="9" t="inlineStr">
        <is>
          <t>Median Salary</t>
        </is>
      </c>
      <c r="G17" s="9" t="inlineStr">
        <is>
          <t>P75</t>
        </is>
      </c>
      <c r="H17" s="9" t="inlineStr">
        <is>
          <t>Max Salary</t>
        </is>
      </c>
      <c r="I17" s="9" t="inlineStr">
        <is>
          <t>City Multiplier</t>
        </is>
      </c>
      <c r="J17" s="9" t="inlineStr">
        <is>
          <t>Source</t>
        </is>
      </c>
    </row>
    <row r="18">
      <c r="B18" s="36" t="inlineStr">
        <is>
          <t>Uk</t>
        </is>
      </c>
      <c r="C18" s="36" t="inlineStr">
        <is>
          <t>commercial cab driver</t>
        </is>
      </c>
      <c r="D18" s="38" t="n">
        <v>25500</v>
      </c>
      <c r="E18" s="38" t="n">
        <v>30600</v>
      </c>
      <c r="F18" s="38" t="n">
        <v>34000</v>
      </c>
      <c r="G18" s="38" t="n">
        <v>38080</v>
      </c>
      <c r="H18" s="38" t="n">
        <v>42500</v>
      </c>
      <c r="I18" s="36" t="inlineStr">
        <is>
          <t>0.85x</t>
        </is>
      </c>
      <c r="J18" s="36" t="inlineStr">
        <is>
          <t>Industry Benchmark</t>
        </is>
      </c>
    </row>
    <row r="19">
      <c r="B19" s="41" t="inlineStr">
        <is>
          <t>Australia</t>
        </is>
      </c>
      <c r="C19" s="41" t="inlineStr">
        <is>
          <t>commercial cab driver</t>
        </is>
      </c>
      <c r="D19" s="43" t="n">
        <v>27000</v>
      </c>
      <c r="E19" s="43" t="n">
        <v>32400</v>
      </c>
      <c r="F19" s="43" t="n">
        <v>36000</v>
      </c>
      <c r="G19" s="43" t="n">
        <v>40320</v>
      </c>
      <c r="H19" s="43" t="n">
        <v>45000</v>
      </c>
      <c r="I19" s="41" t="inlineStr">
        <is>
          <t>0.90x</t>
        </is>
      </c>
      <c r="J19" s="41" t="inlineStr">
        <is>
          <t>Industry Benchmark</t>
        </is>
      </c>
    </row>
    <row r="20">
      <c r="B20" s="36" t="inlineStr">
        <is>
          <t>Mexico</t>
        </is>
      </c>
      <c r="C20" s="36" t="inlineStr">
        <is>
          <t>commercial cab driver</t>
        </is>
      </c>
      <c r="D20" s="38" t="n">
        <v>6000</v>
      </c>
      <c r="E20" s="38" t="n">
        <v>7200</v>
      </c>
      <c r="F20" s="38" t="n">
        <v>8000</v>
      </c>
      <c r="G20" s="38" t="n">
        <v>8960</v>
      </c>
      <c r="H20" s="38" t="n">
        <v>10000</v>
      </c>
      <c r="I20" s="36" t="inlineStr">
        <is>
          <t>0.20x</t>
        </is>
      </c>
      <c r="J20" s="36" t="inlineStr">
        <is>
          <t>Industry Benchmark</t>
        </is>
      </c>
    </row>
    <row r="21">
      <c r="B21" s="41" t="inlineStr">
        <is>
          <t>Argentina</t>
        </is>
      </c>
      <c r="C21" s="41" t="inlineStr">
        <is>
          <t>commercial cab driver</t>
        </is>
      </c>
      <c r="D21" s="43" t="n">
        <v>3600</v>
      </c>
      <c r="E21" s="43" t="n">
        <v>4320</v>
      </c>
      <c r="F21" s="43" t="n">
        <v>4800</v>
      </c>
      <c r="G21" s="43" t="n">
        <v>5376</v>
      </c>
      <c r="H21" s="43" t="n">
        <v>6000</v>
      </c>
      <c r="I21" s="41" t="inlineStr">
        <is>
          <t>0.12x</t>
        </is>
      </c>
      <c r="J21" s="41" t="inlineStr">
        <is>
          <t>Industry Benchmark</t>
        </is>
      </c>
    </row>
    <row r="22">
      <c r="B22" s="36" t="inlineStr">
        <is>
          <t>Canada</t>
        </is>
      </c>
      <c r="C22" s="36" t="inlineStr">
        <is>
          <t>commercial cab driver</t>
        </is>
      </c>
      <c r="D22" s="38" t="n">
        <v>25500</v>
      </c>
      <c r="E22" s="38" t="n">
        <v>30600</v>
      </c>
      <c r="F22" s="38" t="n">
        <v>34000</v>
      </c>
      <c r="G22" s="38" t="n">
        <v>38080</v>
      </c>
      <c r="H22" s="38" t="n">
        <v>42500</v>
      </c>
      <c r="I22" s="36" t="inlineStr">
        <is>
          <t>0.85x</t>
        </is>
      </c>
      <c r="J22" s="36" t="inlineStr">
        <is>
          <t>Industry Benchmark</t>
        </is>
      </c>
    </row>
    <row r="23">
      <c r="B23" s="41" t="inlineStr">
        <is>
          <t>New Zealand</t>
        </is>
      </c>
      <c r="C23" s="41" t="inlineStr">
        <is>
          <t>commercial cab driver</t>
        </is>
      </c>
      <c r="D23" s="43" t="n">
        <v>22500</v>
      </c>
      <c r="E23" s="43" t="n">
        <v>27000</v>
      </c>
      <c r="F23" s="43" t="n">
        <v>30000</v>
      </c>
      <c r="G23" s="43" t="n">
        <v>33600</v>
      </c>
      <c r="H23" s="43" t="n">
        <v>37500</v>
      </c>
      <c r="I23" s="41" t="inlineStr">
        <is>
          <t>0.75x</t>
        </is>
      </c>
      <c r="J23" s="41" t="inlineStr">
        <is>
          <t>Industry Benchmark</t>
        </is>
      </c>
    </row>
    <row r="24">
      <c r="B24" s="2" t="inlineStr">
        <is>
          <t>Per-role salaries adjusted by city multiplier; P25/P75 bands are ordered (min&lt;=P25&lt;=median&lt;=P75&lt;=max). Rows marked (est.) use a tier-scaled generic estimate rather than a specific industry benchmark -- 6 of 6 rows (100%) are benchmark-sourced.</t>
        </is>
      </c>
    </row>
    <row r="26" ht="22" customHeight="1">
      <c r="B26" s="29" t="inlineStr">
        <is>
          <t>Competitive Landscape &amp; Counter-Strategies</t>
        </is>
      </c>
    </row>
    <row r="27" ht="22" customHeight="1">
      <c r="B27" s="9" t="inlineStr">
        <is>
          <t>City</t>
        </is>
      </c>
      <c r="C27" s="9" t="inlineStr">
        <is>
          <t>Top Employers</t>
        </is>
      </c>
      <c r="D27" s="9" t="inlineStr">
        <is>
          <t>Hiring Intensity</t>
        </is>
      </c>
      <c r="E27" s="9" t="inlineStr">
        <is>
          <t>Est. Competing Postings</t>
        </is>
      </c>
      <c r="F27" s="9" t="inlineStr">
        <is>
          <t>Why They Matter</t>
        </is>
      </c>
      <c r="G27" s="9" t="inlineStr">
        <is>
          <t>Counter-Strategy</t>
        </is>
      </c>
    </row>
    <row r="28" ht="40" customHeight="1">
      <c r="B28" s="36" t="inlineStr">
        <is>
          <t>Uk</t>
        </is>
      </c>
      <c r="C28" s="36" t="inlineStr">
        <is>
          <t>(National) Marriott, (National) Hilton, (National) Hyatt, (National) IHG</t>
        </is>
      </c>
      <c r="D28" s="36" t="inlineStr">
        <is>
          <t>Moderate</t>
        </is>
      </c>
      <c r="E28" s="36" t="inlineStr">
        <is>
          <t>795</t>
        </is>
      </c>
      <c r="F28" s="36" t="inlineStr">
        <is>
          <t>Active but not dominant — opportunity to capture market share with targeted positioning in Uk</t>
        </is>
      </c>
      <c r="G28" s="36" t="inlineStr">
        <is>
          <t>(National) Marriott is actively competing for commercial cab driver candidates in Uk -- sharpen offer cadence and speed-to-contact to stay ahead of it.</t>
        </is>
      </c>
    </row>
    <row r="29" ht="40" customHeight="1">
      <c r="B29" s="41" t="inlineStr">
        <is>
          <t>Australia</t>
        </is>
      </c>
      <c r="C29" s="41" t="inlineStr">
        <is>
          <t>(National) Marriott, (National) Hilton, (National) Hyatt, (National) IHG</t>
        </is>
      </c>
      <c r="D29" s="41" t="inlineStr">
        <is>
          <t>Moderate</t>
        </is>
      </c>
      <c r="E29" s="41" t="inlineStr">
        <is>
          <t>750</t>
        </is>
      </c>
      <c r="F29" s="41" t="inlineStr">
        <is>
          <t>Active but not dominant — opportunity to capture market share with targeted positioning in Australia</t>
        </is>
      </c>
      <c r="G29" s="41" t="inlineStr">
        <is>
          <t>Expect (National) Marriott to keep pressure on commercial cab driver candidates in Australia; a faster interview-to-offer cycle is the clearest lever to counter it.</t>
        </is>
      </c>
    </row>
    <row r="30" ht="40" customHeight="1">
      <c r="B30" s="36" t="inlineStr">
        <is>
          <t>Mexico</t>
        </is>
      </c>
      <c r="C30" s="36" t="inlineStr">
        <is>
          <t>(National) Marriott, (National) Hilton, (National) Hyatt, (National) IHG</t>
        </is>
      </c>
      <c r="D30" s="36" t="inlineStr">
        <is>
          <t>Low</t>
        </is>
      </c>
      <c r="E30" s="36" t="inlineStr">
        <is>
          <t>300</t>
        </is>
      </c>
      <c r="F30" s="36" t="inlineStr">
        <is>
          <t>Lower competition in Mexico — favorable market for Uber's talent acquisition</t>
        </is>
      </c>
      <c r="G30" s="36" t="inlineStr">
        <is>
          <t>(National) Marriott's presence in this pool means commercial cab driver candidates in Mexico have options -- lead with total-comp clarity and a same-week interview slot.</t>
        </is>
      </c>
    </row>
    <row r="31" ht="40" customHeight="1">
      <c r="B31" s="41" t="inlineStr">
        <is>
          <t>Argentina</t>
        </is>
      </c>
      <c r="C31" s="41" t="inlineStr">
        <is>
          <t>(National) Marriott, (National) Hilton, (National) Hyatt, (National) IHG</t>
        </is>
      </c>
      <c r="D31" s="41" t="inlineStr">
        <is>
          <t>Low</t>
        </is>
      </c>
      <c r="E31" s="41" t="inlineStr">
        <is>
          <t>300</t>
        </is>
      </c>
      <c r="F31" s="41" t="inlineStr">
        <is>
          <t>Lower competition in Argentina — favorable market for Uber's talent acquisition</t>
        </is>
      </c>
      <c r="G31" s="41" t="inlineStr">
        <is>
          <t>To out-compete (National) Marriott for commercial cab driver candidates in Argentina, tighten the funnel: pre-screened shortlists and a 48-hour offer turnaround.</t>
        </is>
      </c>
    </row>
    <row r="32" ht="40" customHeight="1">
      <c r="B32" s="36" t="inlineStr">
        <is>
          <t>Canada</t>
        </is>
      </c>
      <c r="C32" s="36" t="inlineStr">
        <is>
          <t>(National) Marriott, (National) Hilton, (National) Hyatt, (National) IHG</t>
        </is>
      </c>
      <c r="D32" s="36" t="inlineStr">
        <is>
          <t>Moderate</t>
        </is>
      </c>
      <c r="E32" s="36" t="inlineStr">
        <is>
          <t>750</t>
        </is>
      </c>
      <c r="F32" s="36" t="inlineStr">
        <is>
          <t>Active but not dominant — opportunity to capture market share with targeted positioning in Canada</t>
        </is>
      </c>
      <c r="G32" s="36" t="inlineStr">
        <is>
          <t>(National) Marriott is a known name to commercial cab driver candidates in Canada in this market -- a specific, verifiable comp figure beats a generic brand impression.</t>
        </is>
      </c>
    </row>
    <row r="33" ht="40" customHeight="1">
      <c r="B33" s="41" t="inlineStr">
        <is>
          <t>New Zealand</t>
        </is>
      </c>
      <c r="C33" s="41" t="inlineStr">
        <is>
          <t>(National) Marriott, (National) Hilton, (National) Hyatt, (National) IHG</t>
        </is>
      </c>
      <c r="D33" s="41" t="inlineStr">
        <is>
          <t>Low</t>
        </is>
      </c>
      <c r="E33" s="41" t="inlineStr">
        <is>
          <t>675</t>
        </is>
      </c>
      <c r="F33" s="41" t="inlineStr">
        <is>
          <t>Lower competition in New Zealand — favorable market for Uber's talent acquisition</t>
        </is>
      </c>
      <c r="G33" s="41" t="inlineStr">
        <is>
          <t>Where (National) Marriott is slower to respond to commercial cab driver candidates in New Zealand, first-contact speed alone can decide who gets the candidate.</t>
        </is>
      </c>
    </row>
    <row r="34">
      <c r="B34" s="68" t="inlineStr">
        <is>
          <t>National (All Markets)</t>
        </is>
      </c>
      <c r="C34" s="36" t="inlineStr">
        <is>
          <t>Marriott, Hilton, Hyatt, IHG, Wyndham</t>
        </is>
      </c>
      <c r="D34" s="36" t="inlineStr">
        <is>
          <t>Moderate</t>
        </is>
      </c>
      <c r="E34" s="36" t="inlineStr"/>
      <c r="F34" s="36" t="inlineStr">
        <is>
          <t>National competitors set salary and benefits benchmarks</t>
        </is>
      </c>
      <c r="G34" s="36" t="inlineStr">
        <is>
          <t>Match or exceed top benefits; lead with mission and impact</t>
        </is>
      </c>
    </row>
    <row r="36" ht="22" customHeight="1">
      <c r="B36" s="29" t="inlineStr">
        <is>
          <t>Role Difficulty Classification</t>
        </is>
      </c>
    </row>
    <row r="37" ht="22" customHeight="1">
      <c r="B37" s="9" t="inlineStr">
        <is>
          <t>Role Title</t>
        </is>
      </c>
      <c r="C37" s="9" t="inlineStr">
        <is>
          <t>Seniority Level</t>
        </is>
      </c>
      <c r="D37" s="9" t="inlineStr">
        <is>
          <t>Difficulty (1-10)</t>
        </is>
      </c>
      <c r="E37" s="9" t="inlineStr">
        <is>
          <t>Supply Level</t>
        </is>
      </c>
      <c r="F37" s="9" t="inlineStr">
        <is>
          <t>Avg Time-to-Fill</t>
        </is>
      </c>
      <c r="G37" s="9" t="inlineStr">
        <is>
          <t>Location Modifier</t>
        </is>
      </c>
      <c r="H37" s="9" t="inlineStr">
        <is>
          <t>Budget Weight</t>
        </is>
      </c>
      <c r="I37" s="9" t="inlineStr">
        <is>
          <t>Channel Emphasis</t>
        </is>
      </c>
      <c r="J37" s="9" t="inlineStr">
        <is>
          <t>Description</t>
        </is>
      </c>
    </row>
    <row r="38">
      <c r="B38" s="36" t="inlineStr">
        <is>
          <t>commercial cab driver</t>
        </is>
      </c>
      <c r="C38" s="36" t="inlineStr">
        <is>
          <t>Entry</t>
        </is>
      </c>
      <c r="D38" s="36" t="inlineStr">
        <is>
          <t>3.5</t>
        </is>
      </c>
      <c r="E38" s="36" t="inlineStr">
        <is>
          <t>Moderate</t>
        </is>
      </c>
      <c r="F38" s="36" t="inlineStr">
        <is>
          <t>20 days</t>
        </is>
      </c>
      <c r="G38" s="36" t="inlineStr">
        <is>
          <t>0 (baseline)</t>
        </is>
      </c>
      <c r="H38" s="36" t="inlineStr">
        <is>
          <t>0.6x</t>
        </is>
      </c>
      <c r="I38" s="36" t="inlineStr">
        <is>
          <t>Job Boards</t>
        </is>
      </c>
      <c r="J38" s="36" t="inlineStr">
        <is>
          <t>Entry level -- difficulty 3.5/10, ~20 day fill time</t>
        </is>
      </c>
    </row>
    <row r="40" ht="22" customHeight="1">
      <c r="B40" s="29" t="inlineStr">
        <is>
          <t>Channel Strategy — Traditional vs Non-Traditional</t>
        </is>
      </c>
    </row>
    <row r="41">
      <c r="B41" s="7" t="inlineStr">
        <is>
          <t>Recommended Split</t>
        </is>
      </c>
      <c r="D41" s="8" t="inlineStr">
        <is>
          <t>65% Traditional / 35% Non-Traditional</t>
        </is>
      </c>
    </row>
    <row r="42">
      <c r="B42" s="7" t="inlineStr">
        <is>
          <t>Avg Role Complexity</t>
        </is>
      </c>
      <c r="D42" s="8" t="inlineStr">
        <is>
          <t>3.5/10</t>
        </is>
      </c>
    </row>
    <row r="43">
      <c r="B43" s="7" t="inlineStr">
        <is>
          <t>Strategy Note</t>
        </is>
      </c>
      <c r="D43" s="8" t="inlineStr">
        <is>
          <t>Recommended 65/35 traditional/non-traditional split based on average role complexity of 3.5/10.</t>
        </is>
      </c>
    </row>
    <row r="45" ht="22" customHeight="1">
      <c r="B45" s="71" t="inlineStr">
        <is>
          <t>Traditional Channel</t>
        </is>
      </c>
      <c r="C45" s="71" t="inlineStr">
        <is>
          <t>Type</t>
        </is>
      </c>
      <c r="D45" s="71" t="inlineStr">
        <is>
          <t>Reach</t>
        </is>
      </c>
      <c r="E45" s="71" t="inlineStr">
        <is>
          <t>Relevance Score</t>
        </is>
      </c>
    </row>
    <row r="46">
      <c r="B46" s="36" t="inlineStr">
        <is>
          <t>Indeed</t>
        </is>
      </c>
      <c r="C46" s="36" t="inlineStr">
        <is>
          <t>Job Board</t>
        </is>
      </c>
      <c r="D46" s="36" t="inlineStr">
        <is>
          <t>Mass</t>
        </is>
      </c>
      <c r="E46" s="36" t="inlineStr">
        <is>
          <t>4.1</t>
        </is>
      </c>
    </row>
    <row r="47">
      <c r="B47" s="41" t="inlineStr">
        <is>
          <t>ZipRecruiter</t>
        </is>
      </c>
      <c r="C47" s="41" t="inlineStr">
        <is>
          <t>Job Board</t>
        </is>
      </c>
      <c r="D47" s="41" t="inlineStr">
        <is>
          <t>Mass</t>
        </is>
      </c>
      <c r="E47" s="41" t="inlineStr">
        <is>
          <t>3.1</t>
        </is>
      </c>
    </row>
    <row r="48">
      <c r="B48" s="36" t="inlineStr">
        <is>
          <t>CareerBuilder</t>
        </is>
      </c>
      <c r="C48" s="36" t="inlineStr">
        <is>
          <t>Job Board</t>
        </is>
      </c>
      <c r="D48" s="36" t="inlineStr">
        <is>
          <t>Mass</t>
        </is>
      </c>
      <c r="E48" s="36" t="inlineStr">
        <is>
          <t>2.6</t>
        </is>
      </c>
    </row>
    <row r="49">
      <c r="B49" s="41" t="inlineStr">
        <is>
          <t>Monster</t>
        </is>
      </c>
      <c r="C49" s="41" t="inlineStr">
        <is>
          <t>Job Board</t>
        </is>
      </c>
      <c r="D49" s="41" t="inlineStr">
        <is>
          <t>Mass</t>
        </is>
      </c>
      <c r="E49" s="41" t="inlineStr">
        <is>
          <t>2.0</t>
        </is>
      </c>
    </row>
    <row r="50">
      <c r="B50" s="36" t="inlineStr">
        <is>
          <t>Glassdoor</t>
        </is>
      </c>
      <c r="C50" s="36" t="inlineStr">
        <is>
          <t>Employer Branding</t>
        </is>
      </c>
      <c r="D50" s="36" t="inlineStr">
        <is>
          <t>Professional</t>
        </is>
      </c>
      <c r="E50" s="36" t="inlineStr">
        <is>
          <t>1.9</t>
        </is>
      </c>
    </row>
    <row r="52" ht="22" customHeight="1">
      <c r="B52" s="71" t="inlineStr">
        <is>
          <t>Non-Traditional Channel</t>
        </is>
      </c>
      <c r="C52" s="71" t="inlineStr">
        <is>
          <t>Type</t>
        </is>
      </c>
      <c r="D52" s="71" t="inlineStr">
        <is>
          <t>Reach</t>
        </is>
      </c>
    </row>
    <row r="53">
      <c r="B53" s="36" t="inlineStr">
        <is>
          <t>TikTok Recruitment</t>
        </is>
      </c>
      <c r="C53" s="36" t="inlineStr">
        <is>
          <t>Social</t>
        </is>
      </c>
      <c r="D53" s="36" t="inlineStr">
        <is>
          <t>Gen Z</t>
        </is>
      </c>
    </row>
    <row r="55" ht="22" customHeight="1">
      <c r="B55" s="29" t="inlineStr">
        <is>
          <t>Recommended Program Structure</t>
        </is>
      </c>
    </row>
    <row r="56">
      <c r="B56" s="7" t="inlineStr">
        <is>
          <t>This Plan's Media Budget</t>
        </is>
      </c>
      <c r="D56" s="8" t="inlineStr">
        <is>
          <t>£2.0M</t>
        </is>
      </c>
    </row>
    <row r="57">
      <c r="B57" s="2" t="inlineStr">
        <is>
          <t>The media figure below IS this plan's full budget (already 100% allocated across channels elsewhere in this workbook). Creative and contingency are RECOMMENDED INCREMENTAL reserves on top of it, not a second claim on the same dollars -- fund them only if additional budget is available.</t>
        </is>
      </c>
    </row>
    <row r="59" ht="22" customHeight="1">
      <c r="B59" s="9" t="inlineStr">
        <is>
          <t>Program Component</t>
        </is>
      </c>
      <c r="C59" s="9" t="inlineStr">
        <is>
          <t>Amount</t>
        </is>
      </c>
      <c r="D59" s="9" t="inlineStr">
        <is>
          <t>% of Media Budget</t>
        </is>
      </c>
      <c r="E59" s="9" t="inlineStr">
        <is>
          <t>Description</t>
        </is>
      </c>
    </row>
    <row r="60">
      <c r="B60" s="72" t="inlineStr">
        <is>
          <t>Media (this plan's full budget)</t>
        </is>
      </c>
      <c r="C60" s="73" t="n">
        <v>2000000</v>
      </c>
      <c r="D60" s="74" t="n">
        <v>1</v>
      </c>
      <c r="E60" s="72" t="inlineStr">
        <is>
          <t>Direct job advertising, programmatic, boards, social ads -- the plan's entire media spend, detailed elsewhere in this workbook.</t>
        </is>
      </c>
    </row>
    <row r="61">
      <c r="B61" s="36" t="inlineStr">
        <is>
          <t>Creative Content — suggested addition</t>
        </is>
      </c>
      <c r="C61" s="38" t="n">
        <v>340000</v>
      </c>
      <c r="D61" s="37" t="n">
        <v>0.17</v>
      </c>
      <c r="E61" s="36" t="inlineStr">
        <is>
          <t>Employer branding, ad creative, video, landing pages</t>
        </is>
      </c>
    </row>
    <row r="62">
      <c r="B62" s="75" t="inlineStr">
        <is>
          <t xml:space="preserve">  — Job Ad Copywriting</t>
        </is>
      </c>
      <c r="C62" s="76" t="n">
        <v>102000</v>
      </c>
      <c r="D62" s="36" t="inlineStr"/>
      <c r="E62" s="36" t="inlineStr"/>
    </row>
    <row r="63">
      <c r="B63" s="75" t="inlineStr">
        <is>
          <t xml:space="preserve">  — Employer Brand Content</t>
        </is>
      </c>
      <c r="C63" s="76" t="n">
        <v>85000</v>
      </c>
      <c r="D63" s="36" t="inlineStr"/>
      <c r="E63" s="36" t="inlineStr"/>
    </row>
    <row r="64">
      <c r="B64" s="75" t="inlineStr">
        <is>
          <t xml:space="preserve">  — Video Production</t>
        </is>
      </c>
      <c r="C64" s="76" t="n">
        <v>68000</v>
      </c>
      <c r="D64" s="36" t="inlineStr"/>
      <c r="E64" s="36" t="inlineStr"/>
    </row>
    <row r="65">
      <c r="B65" s="75" t="inlineStr">
        <is>
          <t xml:space="preserve">  — Landing Pages</t>
        </is>
      </c>
      <c r="C65" s="76" t="n">
        <v>51000</v>
      </c>
      <c r="D65" s="36" t="inlineStr"/>
      <c r="E65" s="36" t="inlineStr"/>
    </row>
    <row r="66">
      <c r="B66" s="75" t="inlineStr">
        <is>
          <t xml:space="preserve">  — Social Media Content</t>
        </is>
      </c>
      <c r="C66" s="76" t="n">
        <v>34000</v>
      </c>
      <c r="D66" s="36" t="inlineStr"/>
      <c r="E66" s="36" t="inlineStr"/>
    </row>
    <row r="67">
      <c r="B67" s="41" t="inlineStr">
        <is>
          <t>Contingency Reserve — suggested addition</t>
        </is>
      </c>
      <c r="C67" s="43" t="n">
        <v>220000</v>
      </c>
      <c r="D67" s="42" t="n">
        <v>0.11</v>
      </c>
      <c r="E67" s="41" t="inlineStr">
        <is>
          <t>Market shifts, surge hiring, channel testing</t>
        </is>
      </c>
    </row>
    <row r="68">
      <c r="B68" s="75" t="inlineStr">
        <is>
          <t xml:space="preserve">  — Market Surge Reserve</t>
        </is>
      </c>
      <c r="C68" s="76" t="n">
        <v>88000</v>
      </c>
      <c r="D68" s="36" t="inlineStr"/>
      <c r="E68" s="36" t="inlineStr"/>
    </row>
    <row r="69">
      <c r="B69" s="75" t="inlineStr">
        <is>
          <t xml:space="preserve">  — Underperformance Reallocation</t>
        </is>
      </c>
      <c r="C69" s="76" t="n">
        <v>66000</v>
      </c>
      <c r="D69" s="36" t="inlineStr"/>
      <c r="E69" s="36" t="inlineStr"/>
    </row>
    <row r="70">
      <c r="B70" s="75" t="inlineStr">
        <is>
          <t xml:space="preserve">  — New Channel Testing</t>
        </is>
      </c>
      <c r="C70" s="76" t="n">
        <v>44000</v>
      </c>
      <c r="D70" s="36" t="inlineStr"/>
      <c r="E70" s="36" t="inlineStr"/>
    </row>
    <row r="71">
      <c r="B71" s="75" t="inlineStr">
        <is>
          <t xml:space="preserve">  — Emergency Hiring Spikes</t>
        </is>
      </c>
      <c r="C71" s="76" t="n">
        <v>22000</v>
      </c>
      <c r="D71" s="36" t="inlineStr"/>
      <c r="E71" s="36" t="inlineStr"/>
    </row>
    <row r="72">
      <c r="B72" s="77" t="inlineStr">
        <is>
          <t>Total Program (media + suggested reserves)</t>
        </is>
      </c>
      <c r="C72" s="78" t="n">
        <v>2560000</v>
      </c>
      <c r="D72" s="79" t="n">
        <v>1.28</v>
      </c>
      <c r="E72" s="77" t="inlineStr">
        <is>
          <t>Fully-funded program if the suggested reserves are added.</t>
        </is>
      </c>
    </row>
    <row r="74">
      <c r="B74" s="7" t="inlineStr">
        <is>
          <t>Recommendation</t>
        </is>
      </c>
      <c r="D74" s="8" t="inlineStr">
        <is>
          <t>Media: £2.0M is this plan's full budget -- already committed to the channel mix detailed elsewhere in this workbook; not available to re-slice.</t>
        </is>
      </c>
    </row>
    <row r="75">
      <c r="B75" s="7" t="inlineStr">
        <is>
          <t>Recommendation</t>
        </is>
      </c>
      <c r="D75" s="8" t="inlineStr">
        <is>
          <t>Creative Content: £340,000 suggested addition if incremental budget becomes available -- Employer branding, ad creative, video, landing pages.</t>
        </is>
      </c>
    </row>
    <row r="76">
      <c r="B76" s="7" t="inlineStr">
        <is>
          <t>Recommendation</t>
        </is>
      </c>
      <c r="D76" s="8" t="inlineStr">
        <is>
          <t>Contingency Reserve: £220,000 suggested addition if incremental budget becomes available -- Market shifts, surge hiring, channel testing.</t>
        </is>
      </c>
    </row>
    <row r="78" ht="22" customHeight="1">
      <c r="B78" s="29" t="inlineStr">
        <is>
          <t>Activation Event Calendar</t>
        </is>
      </c>
    </row>
    <row r="79">
      <c r="B79" s="7" t="inlineStr">
        <is>
          <t>Campaign Start</t>
        </is>
      </c>
      <c r="D79" s="8" t="inlineStr">
        <is>
          <t>July 2026</t>
        </is>
      </c>
    </row>
    <row r="80">
      <c r="B80" s="7" t="inlineStr">
        <is>
          <t>Budget Phasing</t>
        </is>
      </c>
      <c r="D80" s="8" t="inlineStr">
        <is>
          <t>Budget should be weighted toward high-intensity months. Front-load spend in the first 2 months for maximum visibility.</t>
        </is>
      </c>
    </row>
    <row r="82" ht="22" customHeight="1">
      <c r="B82" s="9" t="inlineStr">
        <is>
          <t>Month</t>
        </is>
      </c>
      <c r="C82" s="9" t="inlineStr">
        <is>
          <t>Season</t>
        </is>
      </c>
      <c r="D82" s="9" t="inlineStr">
        <is>
          <t>Hiring Intensity</t>
        </is>
      </c>
      <c r="E82" s="9" t="inlineStr">
        <is>
          <t>Budget Weight</t>
        </is>
      </c>
      <c r="F82" s="9" t="inlineStr">
        <is>
          <t>Key Events</t>
        </is>
      </c>
      <c r="G82" s="9" t="inlineStr">
        <is>
          <t>Recommendation</t>
        </is>
      </c>
    </row>
    <row r="83">
      <c r="B83" s="36" t="inlineStr">
        <is>
          <t>July</t>
        </is>
      </c>
      <c r="C83" s="36" t="inlineStr">
        <is>
          <t>Mid-Summer</t>
        </is>
      </c>
      <c r="D83" s="36" t="inlineStr">
        <is>
          <t>Low</t>
        </is>
      </c>
      <c r="E83" s="36" t="inlineStr">
        <is>
          <t>0.8x</t>
        </is>
      </c>
      <c r="F83" s="36" t="inlineStr">
        <is>
          <t>Peak summer season; Resort/seasonal staffing max</t>
        </is>
      </c>
      <c r="G83" s="36" t="inlineStr">
        <is>
          <t>Lowest cost-per-click -- good time for brand awareness campaigns</t>
        </is>
      </c>
    </row>
    <row r="84">
      <c r="B84" s="41" t="inlineStr">
        <is>
          <t>August</t>
        </is>
      </c>
      <c r="C84" s="41" t="inlineStr">
        <is>
          <t>Late Summer</t>
        </is>
      </c>
      <c r="D84" s="41" t="inlineStr">
        <is>
          <t>Moderate</t>
        </is>
      </c>
      <c r="E84" s="41" t="inlineStr">
        <is>
          <t>1.0x</t>
        </is>
      </c>
      <c r="F84" s="41" t="inlineStr">
        <is>
          <t>Back-to-school transition; Fall event season prep</t>
        </is>
      </c>
      <c r="G84" s="41" t="inlineStr">
        <is>
          <t>Ramp up spend -- candidates return from vacation</t>
        </is>
      </c>
    </row>
    <row r="85">
      <c r="B85" s="36" t="inlineStr">
        <is>
          <t>September</t>
        </is>
      </c>
      <c r="C85" s="36" t="inlineStr">
        <is>
          <t>Fall Surge</t>
        </is>
      </c>
      <c r="D85" s="36" t="inlineStr">
        <is>
          <t>Very High</t>
        </is>
      </c>
      <c r="E85" s="36" t="inlineStr">
        <is>
          <t>1.1x</t>
        </is>
      </c>
      <c r="F85" s="36" t="inlineStr">
        <is>
          <t>Fall conference season; Shoulder season staffing</t>
        </is>
      </c>
      <c r="G85" s="36" t="inlineStr">
        <is>
          <t>Second biggest hiring wave -- maximize programmatic spend</t>
        </is>
      </c>
    </row>
    <row r="86">
      <c r="B86" s="41" t="inlineStr">
        <is>
          <t>October</t>
        </is>
      </c>
      <c r="C86" s="41" t="inlineStr">
        <is>
          <t>October Peak</t>
        </is>
      </c>
      <c r="D86" s="41" t="inlineStr">
        <is>
          <t>High</t>
        </is>
      </c>
      <c r="E86" s="41" t="inlineStr">
        <is>
          <t>0.9x</t>
        </is>
      </c>
      <c r="F86" s="41" t="inlineStr">
        <is>
          <t>Holiday event planning staffing; ILTM (luxury travel)</t>
        </is>
      </c>
      <c r="G86" s="41" t="inlineStr">
        <is>
          <t>Invest in diversity-focused channels and employer branding</t>
        </is>
      </c>
    </row>
    <row r="87">
      <c r="B87" s="36" t="inlineStr">
        <is>
          <t>November</t>
        </is>
      </c>
      <c r="C87" s="36" t="inlineStr">
        <is>
          <t>Pre-Holiday</t>
        </is>
      </c>
      <c r="D87" s="36" t="inlineStr">
        <is>
          <t>Moderate</t>
        </is>
      </c>
      <c r="E87" s="36" t="inlineStr">
        <is>
          <t>0.8x</t>
        </is>
      </c>
      <c r="F87" s="36" t="inlineStr">
        <is>
          <t>Holiday season hiring peak; Thanksgiving staffing surge</t>
        </is>
      </c>
      <c r="G87" s="36" t="inlineStr">
        <is>
          <t>Retail: maximum seasonal spend. Others: use remaining budget strategically</t>
        </is>
      </c>
    </row>
    <row r="88">
      <c r="B88" s="41" t="inlineStr">
        <is>
          <t>December</t>
        </is>
      </c>
      <c r="C88" s="41" t="inlineStr">
        <is>
          <t>Year End</t>
        </is>
      </c>
      <c r="D88" s="41" t="inlineStr">
        <is>
          <t>Low</t>
        </is>
      </c>
      <c r="E88" s="41" t="inlineStr">
        <is>
          <t>0.8x</t>
        </is>
      </c>
      <c r="F88" s="41" t="inlineStr">
        <is>
          <t>Holiday party/event season; New Year staffing prep</t>
        </is>
      </c>
      <c r="G88" s="41" t="inlineStr">
        <is>
          <t>Minimal active recruiting -- focus on pipeline building for January</t>
        </is>
      </c>
    </row>
    <row r="89">
      <c r="B89" s="36" t="inlineStr">
        <is>
          <t>January</t>
        </is>
      </c>
      <c r="C89" s="36" t="inlineStr">
        <is>
          <t>New Year Surge</t>
        </is>
      </c>
      <c r="D89" s="36" t="inlineStr">
        <is>
          <t>High</t>
        </is>
      </c>
      <c r="E89" s="36" t="inlineStr">
        <is>
          <t>0.9x</t>
        </is>
      </c>
      <c r="F89" s="36" t="inlineStr">
        <is>
          <t>Post-holiday staffing reset; Winter travel season hiring</t>
        </is>
      </c>
      <c r="G89" s="36" t="inlineStr">
        <is>
          <t>Front-load budget -- January sees 25-30% more job searches</t>
        </is>
      </c>
    </row>
    <row r="90">
      <c r="B90" s="41" t="inlineStr">
        <is>
          <t>February</t>
        </is>
      </c>
      <c r="C90" s="41" t="inlineStr">
        <is>
          <t>Early Spring</t>
        </is>
      </c>
      <c r="D90" s="41" t="inlineStr">
        <is>
          <t>High</t>
        </is>
      </c>
      <c r="E90" s="41" t="inlineStr">
        <is>
          <t>1.1x</t>
        </is>
      </c>
      <c r="F90" s="41" t="inlineStr">
        <is>
          <t>Spring break staffing prep; Valentine's Day event surge</t>
        </is>
      </c>
      <c r="G90" s="41" t="inlineStr">
        <is>
          <t>Invest in campus recruiting and career fair sponsorships</t>
        </is>
      </c>
    </row>
    <row r="91">
      <c r="B91" s="36" t="inlineStr">
        <is>
          <t>March</t>
        </is>
      </c>
      <c r="C91" s="36" t="inlineStr">
        <is>
          <t>Spring Peak</t>
        </is>
      </c>
      <c r="D91" s="36" t="inlineStr">
        <is>
          <t>Very High</t>
        </is>
      </c>
      <c r="E91" s="36" t="inlineStr">
        <is>
          <t>1.4x</t>
        </is>
      </c>
      <c r="F91" s="36" t="inlineStr">
        <is>
          <t>Spring break peak hiring; Convention season begins</t>
        </is>
      </c>
      <c r="G91" s="36" t="inlineStr">
        <is>
          <t>Maximum ad spend -- spring is the highest hiring season</t>
        </is>
      </c>
    </row>
    <row r="92">
      <c r="B92" s="41" t="inlineStr">
        <is>
          <t>April</t>
        </is>
      </c>
      <c r="C92" s="41" t="inlineStr">
        <is>
          <t>Q2 Kickoff</t>
        </is>
      </c>
      <c r="D92" s="41" t="inlineStr">
        <is>
          <t>High</t>
        </is>
      </c>
      <c r="E92" s="41" t="inlineStr">
        <is>
          <t>1.2x</t>
        </is>
      </c>
      <c r="F92" s="41" t="inlineStr">
        <is>
          <t>Summer season recruitment ramp; HITEC hospitality tech</t>
        </is>
      </c>
      <c r="G92" s="41" t="inlineStr">
        <is>
          <t>Launch internship programs and summer hire campaigns</t>
        </is>
      </c>
    </row>
    <row r="93">
      <c r="B93" s="36" t="inlineStr">
        <is>
          <t>May</t>
        </is>
      </c>
      <c r="C93" s="36" t="inlineStr">
        <is>
          <t>Pre-Summer</t>
        </is>
      </c>
      <c r="D93" s="36" t="inlineStr">
        <is>
          <t>Moderate</t>
        </is>
      </c>
      <c r="E93" s="36" t="inlineStr">
        <is>
          <t>1.2x</t>
        </is>
      </c>
      <c r="F93" s="36" t="inlineStr">
        <is>
          <t>Memorial Day staffing; Peak summer hiring push</t>
        </is>
      </c>
      <c r="G93" s="36" t="inlineStr">
        <is>
          <t>Target new graduates; reduce spend heading into summer</t>
        </is>
      </c>
    </row>
    <row r="94">
      <c r="B94" s="41" t="inlineStr">
        <is>
          <t>June</t>
        </is>
      </c>
      <c r="C94" s="41" t="inlineStr">
        <is>
          <t>Summer Slowdown Start</t>
        </is>
      </c>
      <c r="D94" s="41" t="inlineStr">
        <is>
          <t>Moderate</t>
        </is>
      </c>
      <c r="E94" s="41" t="inlineStr">
        <is>
          <t>1.0x</t>
        </is>
      </c>
      <c r="F94" s="41" t="inlineStr">
        <is>
          <t>Summer tourism peak begins; NRA Show (National Restaurant)</t>
        </is>
      </c>
      <c r="G94" s="41" t="inlineStr">
        <is>
          <t>Shift to passive sourcing and employer branding</t>
        </is>
      </c>
    </row>
    <row r="96">
      <c r="B96" s="7" t="inlineStr">
        <is>
          <t>Industry Events</t>
        </is>
      </c>
      <c r="D96" s="8" t="inlineStr">
        <is>
          <t>Spring break peak hiring (Mar); NRA Show (Jun); Summer tourism peak (Jun-Aug); Holiday event season (Nov-Dec)</t>
        </is>
      </c>
    </row>
    <row r="99">
      <c r="B99" s="2" t="inlineStr">
        <is>
          <t>Generated by Nova AI Media Plan Generator | July 23, 2026 | Created by Shubham Singh Chandel | Joveo Global Supply Team</t>
        </is>
      </c>
    </row>
  </sheetData>
  <mergeCells count="33">
    <mergeCell ref="B99:H99"/>
    <mergeCell ref="B40:H40"/>
    <mergeCell ref="B55:H55"/>
    <mergeCell ref="B6:H6"/>
    <mergeCell ref="B24:H24"/>
    <mergeCell ref="D80:H80"/>
    <mergeCell ref="B56:C56"/>
    <mergeCell ref="B96:C96"/>
    <mergeCell ref="B43:C43"/>
    <mergeCell ref="D96:H96"/>
    <mergeCell ref="B79:C79"/>
    <mergeCell ref="B36:H36"/>
    <mergeCell ref="B26:H26"/>
    <mergeCell ref="B4:H4"/>
    <mergeCell ref="B42:C42"/>
    <mergeCell ref="D76:H76"/>
    <mergeCell ref="B16:H16"/>
    <mergeCell ref="D41:H41"/>
    <mergeCell ref="D75:H75"/>
    <mergeCell ref="D43:H43"/>
    <mergeCell ref="B2:H2"/>
    <mergeCell ref="D56:H56"/>
    <mergeCell ref="B74:C74"/>
    <mergeCell ref="D74:H74"/>
    <mergeCell ref="B14:H14"/>
    <mergeCell ref="B57:H57"/>
    <mergeCell ref="D79:H79"/>
    <mergeCell ref="D42:H42"/>
    <mergeCell ref="B80:C80"/>
    <mergeCell ref="B76:C76"/>
    <mergeCell ref="B78:H78"/>
    <mergeCell ref="B41:C41"/>
    <mergeCell ref="B75:C75"/>
  </mergeCells>
  <pageMargins left="0.75" right="0.75" top="1" bottom="1" header="0.5" footer="0.5"/>
</worksheet>
</file>

<file path=xl/worksheets/sheet7.xml><?xml version="1.0" encoding="utf-8"?>
<worksheet xmlns="http://schemas.openxmlformats.org/spreadsheetml/2006/main">
  <sheetPr>
    <tabColor rgb="00202058"/>
    <outlinePr summaryBelow="1" summaryRight="1"/>
    <pageSetUpPr/>
  </sheetPr>
  <dimension ref="B2:H34"/>
  <sheetViews>
    <sheetView showGridLines="0" workbookViewId="0">
      <pane xSplit="1" ySplit="7" topLeftCell="B8"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18" customWidth="1" min="3" max="3"/>
    <col width="18" customWidth="1" min="4" max="4"/>
    <col width="18" customWidth="1" min="5" max="5"/>
    <col width="18" customWidth="1" min="6" max="6"/>
    <col width="16" customWidth="1" min="7" max="7"/>
  </cols>
  <sheetData>
    <row r="2" ht="28" customHeight="1">
      <c r="B2" s="3" t="inlineStr">
        <is>
          <t>90-DAY ROLLING FORECAST</t>
        </is>
      </c>
    </row>
    <row r="3">
      <c r="B3" s="7" t="inlineStr">
        <is>
          <t>Forecast Period</t>
        </is>
      </c>
      <c r="D3" s="8" t="inlineStr">
        <is>
          <t>Jul 01, 2026 - Sep 30, 2026</t>
        </is>
      </c>
    </row>
    <row r="4">
      <c r="B4" s="7" t="inlineStr">
        <is>
          <t>Campaign Duration</t>
        </is>
      </c>
      <c r="D4" s="8" t="inlineStr">
        <is>
          <t>4 weeks</t>
        </is>
      </c>
    </row>
    <row r="6" ht="22" customHeight="1">
      <c r="B6" s="29" t="inlineStr">
        <is>
          <t>Monthly Projections Overview</t>
        </is>
      </c>
    </row>
    <row r="7" ht="22" customHeight="1">
      <c r="B7" s="9" t="inlineStr">
        <is>
          <t>Metric</t>
        </is>
      </c>
      <c r="C7" s="9" t="inlineStr">
        <is>
          <t>July 2026</t>
        </is>
      </c>
      <c r="D7" s="9" t="inlineStr">
        <is>
          <t>August 2026</t>
        </is>
      </c>
      <c r="E7" s="9" t="inlineStr">
        <is>
          <t>September 2026</t>
        </is>
      </c>
      <c r="F7" s="9" t="inlineStr">
        <is>
          <t>90-Day Total</t>
        </is>
      </c>
      <c r="G7" s="9" t="inlineStr">
        <is>
          <t>Trend</t>
        </is>
      </c>
    </row>
    <row r="8">
      <c r="B8" s="77" t="inlineStr">
        <is>
          <t>Spend</t>
        </is>
      </c>
      <c r="C8" s="43" t="n">
        <v>500000</v>
      </c>
      <c r="D8" s="43" t="n">
        <v>700000</v>
      </c>
      <c r="E8" s="43" t="n">
        <v>800000</v>
      </c>
      <c r="F8" s="43" t="n">
        <v>2000000</v>
      </c>
      <c r="G8" s="41" t="inlineStr">
        <is>
          <t>—</t>
        </is>
      </c>
    </row>
    <row r="9">
      <c r="B9" s="68" t="inlineStr">
        <is>
          <t>Applications</t>
        </is>
      </c>
      <c r="C9" s="65" t="n">
        <v>70430</v>
      </c>
      <c r="D9" s="65" t="n">
        <v>98602</v>
      </c>
      <c r="E9" s="65" t="n">
        <v>112689</v>
      </c>
      <c r="F9" s="65" t="n">
        <v>281721</v>
      </c>
      <c r="G9" s="56" t="inlineStr">
        <is>
          <t>Increasing</t>
        </is>
      </c>
    </row>
    <row r="10">
      <c r="B10" s="77" t="inlineStr">
        <is>
          <t>Hires</t>
        </is>
      </c>
      <c r="C10" s="62" t="n">
        <v>308</v>
      </c>
      <c r="D10" s="62" t="n">
        <v>430</v>
      </c>
      <c r="E10" s="62" t="n">
        <v>492</v>
      </c>
      <c r="F10" s="62" t="n">
        <v>1230</v>
      </c>
      <c r="G10" s="80" t="inlineStr">
        <is>
          <t>Increasing</t>
        </is>
      </c>
    </row>
    <row r="11">
      <c r="B11" s="68" t="inlineStr">
        <is>
          <t>CPA (Cost Per Application)</t>
        </is>
      </c>
      <c r="C11" s="38" t="n">
        <v>7.099247479767144</v>
      </c>
      <c r="D11" s="38" t="n">
        <v>7.099247479767144</v>
      </c>
      <c r="E11" s="38" t="n">
        <v>7.099184481182724</v>
      </c>
      <c r="F11" s="38" t="n">
        <v>7.099222280199204</v>
      </c>
      <c r="G11" s="56" t="inlineStr">
        <is>
          <t>Decreasing</t>
        </is>
      </c>
    </row>
    <row r="13" ht="22" customHeight="1">
      <c r="B13" s="29" t="inlineStr">
        <is>
          <t>Per-Channel Monthly Spend Forecast</t>
        </is>
      </c>
    </row>
    <row r="14" ht="22" customHeight="1">
      <c r="B14" s="9" t="inlineStr">
        <is>
          <t>Channel</t>
        </is>
      </c>
      <c r="C14" s="9" t="inlineStr">
        <is>
          <t>July 2026</t>
        </is>
      </c>
      <c r="D14" s="9" t="inlineStr">
        <is>
          <t>August 2026</t>
        </is>
      </c>
      <c r="E14" s="9" t="inlineStr">
        <is>
          <t>September 2026</t>
        </is>
      </c>
      <c r="F14" s="9" t="inlineStr">
        <is>
          <t>Total</t>
        </is>
      </c>
      <c r="G14" s="9" t="inlineStr">
        <is>
          <t>% of Budget</t>
        </is>
      </c>
    </row>
    <row r="15">
      <c r="B15" s="41" t="inlineStr">
        <is>
          <t>Programmatic (DSP)</t>
        </is>
      </c>
      <c r="C15" s="43" t="n">
        <v>140443.1025</v>
      </c>
      <c r="D15" s="43" t="n">
        <v>196620.3435</v>
      </c>
      <c r="E15" s="43" t="n">
        <v>224708.964</v>
      </c>
      <c r="F15" s="43" t="n">
        <v>561772.41</v>
      </c>
      <c r="G15" s="42" t="n">
        <v>0.280886205</v>
      </c>
    </row>
    <row r="16">
      <c r="B16" s="36" t="inlineStr">
        <is>
          <t>Global Job Boards</t>
        </is>
      </c>
      <c r="C16" s="38" t="n">
        <v>96543.10249999999</v>
      </c>
      <c r="D16" s="38" t="n">
        <v>135160.3435</v>
      </c>
      <c r="E16" s="38" t="n">
        <v>154468.964</v>
      </c>
      <c r="F16" s="38" t="n">
        <v>386172.41</v>
      </c>
      <c r="G16" s="37" t="n">
        <v>0.193086205</v>
      </c>
    </row>
    <row r="17">
      <c r="B17" s="41" t="inlineStr">
        <is>
          <t>Social Media</t>
        </is>
      </c>
      <c r="C17" s="43" t="n">
        <v>68334.4825</v>
      </c>
      <c r="D17" s="43" t="n">
        <v>95668.27549999999</v>
      </c>
      <c r="E17" s="43" t="n">
        <v>109335.172</v>
      </c>
      <c r="F17" s="43" t="n">
        <v>273337.93</v>
      </c>
      <c r="G17" s="42" t="n">
        <v>0.136668965</v>
      </c>
    </row>
    <row r="18">
      <c r="B18" s="36" t="inlineStr">
        <is>
          <t>Regional Job Boards</t>
        </is>
      </c>
      <c r="C18" s="38" t="n">
        <v>66893.10249999999</v>
      </c>
      <c r="D18" s="38" t="n">
        <v>93650.34349999999</v>
      </c>
      <c r="E18" s="38" t="n">
        <v>107028.964</v>
      </c>
      <c r="F18" s="38" t="n">
        <v>267572.41</v>
      </c>
      <c r="G18" s="37" t="n">
        <v>0.133786205</v>
      </c>
    </row>
    <row r="19">
      <c r="B19" s="41" t="inlineStr">
        <is>
          <t>APAC Regional</t>
        </is>
      </c>
      <c r="C19" s="43" t="n">
        <v>48893.1025</v>
      </c>
      <c r="D19" s="43" t="n">
        <v>68450.3435</v>
      </c>
      <c r="E19" s="43" t="n">
        <v>78228.96400000001</v>
      </c>
      <c r="F19" s="43" t="n">
        <v>195572.41</v>
      </c>
      <c r="G19" s="42" t="n">
        <v>0.097786205</v>
      </c>
    </row>
    <row r="20">
      <c r="B20" s="36" t="inlineStr">
        <is>
          <t>EMEA Regional</t>
        </is>
      </c>
      <c r="C20" s="38" t="n">
        <v>48893.1025</v>
      </c>
      <c r="D20" s="38" t="n">
        <v>68450.3435</v>
      </c>
      <c r="E20" s="38" t="n">
        <v>78228.96400000001</v>
      </c>
      <c r="F20" s="38" t="n">
        <v>195572.41</v>
      </c>
      <c r="G20" s="37" t="n">
        <v>0.097786205</v>
      </c>
    </row>
    <row r="21">
      <c r="B21" s="41" t="inlineStr">
        <is>
          <t>Niche / Industry Boards</t>
        </is>
      </c>
      <c r="C21" s="43" t="n">
        <v>15000</v>
      </c>
      <c r="D21" s="43" t="n">
        <v>21000</v>
      </c>
      <c r="E21" s="43" t="n">
        <v>24000</v>
      </c>
      <c r="F21" s="43" t="n">
        <v>60000</v>
      </c>
      <c r="G21" s="42" t="n">
        <v>0.03</v>
      </c>
    </row>
    <row r="22">
      <c r="B22" s="36" t="inlineStr">
        <is>
          <t>Employer Branding</t>
        </is>
      </c>
      <c r="C22" s="38" t="n">
        <v>15000</v>
      </c>
      <c r="D22" s="38" t="n">
        <v>21000</v>
      </c>
      <c r="E22" s="38" t="n">
        <v>24000</v>
      </c>
      <c r="F22" s="38" t="n">
        <v>60000</v>
      </c>
      <c r="G22" s="37" t="n">
        <v>0.03</v>
      </c>
    </row>
    <row r="24" ht="22" customHeight="1">
      <c r="B24" s="29" t="inlineStr">
        <is>
          <t>Optimization Milestones</t>
        </is>
      </c>
    </row>
    <row r="25">
      <c r="B25" s="77" t="inlineStr">
        <is>
          <t>Week 1-2</t>
        </is>
      </c>
      <c r="C25" s="41" t="inlineStr">
        <is>
          <t>Campaign launch, initial bid calibration, creative A/B testing begins</t>
        </is>
      </c>
    </row>
    <row r="26">
      <c r="B26" s="68" t="inlineStr">
        <is>
          <t>Week 3-4</t>
        </is>
      </c>
      <c r="C26" s="36" t="inlineStr">
        <is>
          <t>First optimization cycle: pause underperforming channels, reallocate budget</t>
        </is>
      </c>
    </row>
    <row r="27">
      <c r="B27" s="77" t="inlineStr">
        <is>
          <t>Week 5-6</t>
        </is>
      </c>
      <c r="C27" s="41" t="inlineStr">
        <is>
          <t>Conversion tracking validated, CPA benchmarks established</t>
        </is>
      </c>
    </row>
    <row r="28">
      <c r="B28" s="68" t="inlineStr">
        <is>
          <t>Week 7-8</t>
        </is>
      </c>
      <c r="C28" s="36" t="inlineStr">
        <is>
          <t>Second optimization: refine targeting, scale winning channels</t>
        </is>
      </c>
    </row>
    <row r="29">
      <c r="B29" s="77" t="inlineStr">
        <is>
          <t>Week 9-10</t>
        </is>
      </c>
      <c r="C29" s="41" t="inlineStr">
        <is>
          <t>Quality-of-hire feedback loop, adjust for retention correlation</t>
        </is>
      </c>
    </row>
    <row r="30">
      <c r="B30" s="68" t="inlineStr">
        <is>
          <t>Week 11-12</t>
        </is>
      </c>
      <c r="C30" s="36" t="inlineStr">
        <is>
          <t>Final optimization, prepare renewal recommendations, ROI summary</t>
        </is>
      </c>
    </row>
    <row r="32">
      <c r="B32" s="2" t="inlineStr">
        <is>
          <t>This forecast phases budget 25% Month 1 (learning), 35% Month 2 (optimizing), 40% Month 3 (peak performance) -- this plan's own computed split, seasonally adjusted for its industry and start month. Actual distribution may vary based on channel mix and market conditions.</t>
        </is>
      </c>
    </row>
    <row r="34">
      <c r="B34" s="2" t="inlineStr">
        <is>
          <t>Generated by Nova AI Media Plan Generator | July 23, 2026 | Created by Shubham Singh Chandel | Joveo Global Supply Team</t>
        </is>
      </c>
    </row>
  </sheetData>
  <mergeCells count="10">
    <mergeCell ref="B32:H32"/>
    <mergeCell ref="B13:H13"/>
    <mergeCell ref="B3:C3"/>
    <mergeCell ref="B6:H6"/>
    <mergeCell ref="B24:H24"/>
    <mergeCell ref="B2:H2"/>
    <mergeCell ref="D4:H4"/>
    <mergeCell ref="B34:H34"/>
    <mergeCell ref="B4:C4"/>
    <mergeCell ref="D3:H3"/>
  </mergeCells>
  <pageMargins left="0.75" right="0.75" top="1" bottom="1" header="0.5" footer="0.5"/>
</worksheet>
</file>

<file path=xl/worksheets/sheet8.xml><?xml version="1.0" encoding="utf-8"?>
<worksheet xmlns="http://schemas.openxmlformats.org/spreadsheetml/2006/main">
  <sheetPr>
    <tabColor rgb="00B7669E"/>
    <outlinePr summaryBelow="1" summaryRight="1"/>
    <pageSetUpPr/>
  </sheetPr>
  <dimension ref="B2:H48"/>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14" customWidth="1" min="3" max="3"/>
    <col width="16" customWidth="1" min="4" max="4"/>
    <col width="16" customWidth="1" min="5" max="5"/>
    <col width="16" customWidth="1" min="6" max="6"/>
    <col width="14" customWidth="1" min="7" max="7"/>
    <col width="14" customWidth="1" min="8" max="8"/>
  </cols>
  <sheetData>
    <row r="2" ht="28" customHeight="1">
      <c r="B2" s="3" t="inlineStr">
        <is>
          <t>CONFIDENCE INTERVALS &amp; METRIC RANGES</t>
        </is>
      </c>
    </row>
    <row r="3">
      <c r="B3" s="7" t="inlineStr">
        <is>
          <t>Methodology</t>
        </is>
      </c>
      <c r="D3" s="8" t="inlineStr">
        <is>
          <t>Ranges derived from data confidence levels. HIGH confidence = +/-15% variance, MEDIUM = +/-20%, LOW = +/-25%. Based on source count and KB validation.</t>
        </is>
      </c>
    </row>
    <row r="5" ht="22" customHeight="1">
      <c r="B5" s="29" t="inlineStr">
        <is>
          <t>Variance Scale</t>
        </is>
      </c>
    </row>
    <row r="6" ht="22" customHeight="1">
      <c r="B6" s="9" t="inlineStr">
        <is>
          <t>Confidence Level</t>
        </is>
      </c>
      <c r="C6" s="9" t="inlineStr">
        <is>
          <t>Variance Applied</t>
        </is>
      </c>
      <c r="D6" s="9" t="inlineStr">
        <is>
          <t>Description</t>
        </is>
      </c>
      <c r="E6" s="9" t="inlineStr">
        <is>
          <t>Typical Sources</t>
        </is>
      </c>
    </row>
    <row r="7">
      <c r="B7" s="80" t="inlineStr">
        <is>
          <t>HIGH</t>
        </is>
      </c>
      <c r="C7" s="41" t="inlineStr">
        <is>
          <t>+/- 15%</t>
        </is>
      </c>
      <c r="D7" s="41" t="inlineStr">
        <is>
          <t>Multiple validated data sources</t>
        </is>
      </c>
      <c r="E7" s="41" t="inlineStr">
        <is>
          <t>2+ independent sources</t>
        </is>
      </c>
    </row>
    <row r="8">
      <c r="B8" s="52" t="inlineStr">
        <is>
          <t>MEDIUM</t>
        </is>
      </c>
      <c r="C8" s="36" t="inlineStr">
        <is>
          <t>+/- 20%</t>
        </is>
      </c>
      <c r="D8" s="36" t="inlineStr">
        <is>
          <t>Single source or benchmark-validated</t>
        </is>
      </c>
      <c r="E8" s="36" t="inlineStr">
        <is>
          <t>1 validated source</t>
        </is>
      </c>
    </row>
    <row r="9">
      <c r="B9" s="81" t="inlineStr">
        <is>
          <t>LOW</t>
        </is>
      </c>
      <c r="C9" s="41" t="inlineStr">
        <is>
          <t>+/- 25%</t>
        </is>
      </c>
      <c r="D9" s="41" t="inlineStr">
        <is>
          <t>Estimated or insufficient data</t>
        </is>
      </c>
      <c r="E9" s="41" t="inlineStr">
        <is>
          <t>No direct data sources</t>
        </is>
      </c>
    </row>
    <row r="11" ht="22" customHeight="1">
      <c r="B11" s="29" t="inlineStr">
        <is>
          <t>Per-Channel Metric Ranges</t>
        </is>
      </c>
    </row>
    <row r="12" ht="22" customHeight="1">
      <c r="B12" s="9" t="inlineStr">
        <is>
          <t>Channel</t>
        </is>
      </c>
      <c r="C12" s="9" t="inlineStr">
        <is>
          <t>Metric</t>
        </is>
      </c>
      <c r="D12" s="9" t="inlineStr">
        <is>
          <t>Low (Pessimistic)</t>
        </is>
      </c>
      <c r="E12" s="9" t="inlineStr">
        <is>
          <t>Expected</t>
        </is>
      </c>
      <c r="F12" s="9" t="inlineStr">
        <is>
          <t>High (Optimistic)</t>
        </is>
      </c>
      <c r="G12" s="9" t="inlineStr">
        <is>
          <t>Variance</t>
        </is>
      </c>
      <c r="H12" s="9" t="inlineStr">
        <is>
          <t>Confidence</t>
        </is>
      </c>
    </row>
    <row r="13">
      <c r="B13" s="77" t="inlineStr">
        <is>
          <t>Programmatic (DSP)</t>
        </is>
      </c>
      <c r="C13" s="41" t="inlineStr">
        <is>
          <t>CPA</t>
        </is>
      </c>
      <c r="D13" s="44" t="n">
        <v>4.596</v>
      </c>
      <c r="E13" s="82" t="n">
        <v>3.83</v>
      </c>
      <c r="F13" s="44" t="n">
        <v>3.064</v>
      </c>
      <c r="G13" s="41" t="inlineStr">
        <is>
          <t>+/-20%</t>
        </is>
      </c>
      <c r="H13" s="83" t="inlineStr">
        <is>
          <t>MEDIUM</t>
        </is>
      </c>
    </row>
    <row r="14">
      <c r="B14" s="68" t="inlineStr">
        <is>
          <t>Programmatic (DSP)</t>
        </is>
      </c>
      <c r="C14" s="36" t="inlineStr">
        <is>
          <t>Applications</t>
        </is>
      </c>
      <c r="D14" s="65" t="n">
        <v>117239</v>
      </c>
      <c r="E14" s="69" t="n">
        <v>146549</v>
      </c>
      <c r="F14" s="65" t="n">
        <v>175858</v>
      </c>
      <c r="G14" s="36" t="inlineStr">
        <is>
          <t>+/-20%</t>
        </is>
      </c>
      <c r="H14" s="52" t="inlineStr">
        <is>
          <t>MEDIUM</t>
        </is>
      </c>
    </row>
    <row r="15">
      <c r="B15" s="77" t="inlineStr">
        <is>
          <t>Programmatic (DSP)</t>
        </is>
      </c>
      <c r="C15" s="41" t="inlineStr">
        <is>
          <t>Hires</t>
        </is>
      </c>
      <c r="D15" s="62" t="n">
        <v>452</v>
      </c>
      <c r="E15" s="84" t="n">
        <v>566</v>
      </c>
      <c r="F15" s="62" t="n">
        <v>679</v>
      </c>
      <c r="G15" s="41" t="inlineStr">
        <is>
          <t>+/-20%</t>
        </is>
      </c>
      <c r="H15" s="83" t="inlineStr">
        <is>
          <t>MEDIUM</t>
        </is>
      </c>
    </row>
    <row r="16">
      <c r="B16" s="68" t="inlineStr">
        <is>
          <t>Programmatic (DSP)</t>
        </is>
      </c>
      <c r="C16" s="36" t="inlineStr">
        <is>
          <t>Cost Per Hire</t>
        </is>
      </c>
      <c r="D16" s="39" t="n">
        <v>1242.859314159292</v>
      </c>
      <c r="E16" s="85" t="n">
        <v>992.5307597173146</v>
      </c>
      <c r="F16" s="39" t="n">
        <v>827.3525920471282</v>
      </c>
      <c r="G16" s="36" t="inlineStr">
        <is>
          <t>+/-20%</t>
        </is>
      </c>
      <c r="H16" s="52" t="inlineStr">
        <is>
          <t>MEDIUM</t>
        </is>
      </c>
    </row>
    <row r="17">
      <c r="B17" s="77" t="inlineStr">
        <is>
          <t>Global Job Boards</t>
        </is>
      </c>
      <c r="C17" s="41" t="inlineStr">
        <is>
          <t>CPA</t>
        </is>
      </c>
      <c r="D17" s="44" t="n">
        <v>20.832</v>
      </c>
      <c r="E17" s="82" t="n">
        <v>17.36</v>
      </c>
      <c r="F17" s="44" t="n">
        <v>13.888</v>
      </c>
      <c r="G17" s="41" t="inlineStr">
        <is>
          <t>+/-20%</t>
        </is>
      </c>
      <c r="H17" s="83" t="inlineStr">
        <is>
          <t>MEDIUM</t>
        </is>
      </c>
    </row>
    <row r="18">
      <c r="B18" s="68" t="inlineStr">
        <is>
          <t>Global Job Boards</t>
        </is>
      </c>
      <c r="C18" s="36" t="inlineStr">
        <is>
          <t>Applications</t>
        </is>
      </c>
      <c r="D18" s="65" t="n">
        <v>17798</v>
      </c>
      <c r="E18" s="69" t="n">
        <v>22248</v>
      </c>
      <c r="F18" s="65" t="n">
        <v>26697</v>
      </c>
      <c r="G18" s="36" t="inlineStr">
        <is>
          <t>+/-20%</t>
        </is>
      </c>
      <c r="H18" s="52" t="inlineStr">
        <is>
          <t>MEDIUM</t>
        </is>
      </c>
    </row>
    <row r="19">
      <c r="B19" s="77" t="inlineStr">
        <is>
          <t>Global Job Boards</t>
        </is>
      </c>
      <c r="C19" s="41" t="inlineStr">
        <is>
          <t>Hires</t>
        </is>
      </c>
      <c r="D19" s="62" t="n">
        <v>105</v>
      </c>
      <c r="E19" s="84" t="n">
        <v>132</v>
      </c>
      <c r="F19" s="62" t="n">
        <v>158</v>
      </c>
      <c r="G19" s="41" t="inlineStr">
        <is>
          <t>+/-20%</t>
        </is>
      </c>
      <c r="H19" s="83" t="inlineStr">
        <is>
          <t>MEDIUM</t>
        </is>
      </c>
    </row>
    <row r="20">
      <c r="B20" s="68" t="inlineStr">
        <is>
          <t>Global Job Boards</t>
        </is>
      </c>
      <c r="C20" s="36" t="inlineStr">
        <is>
          <t>Cost Per Hire</t>
        </is>
      </c>
      <c r="D20" s="39" t="n">
        <v>3677.832476190476</v>
      </c>
      <c r="E20" s="85" t="n">
        <v>2925.548560606061</v>
      </c>
      <c r="F20" s="39" t="n">
        <v>2444.12917721519</v>
      </c>
      <c r="G20" s="36" t="inlineStr">
        <is>
          <t>+/-20%</t>
        </is>
      </c>
      <c r="H20" s="52" t="inlineStr">
        <is>
          <t>MEDIUM</t>
        </is>
      </c>
    </row>
    <row r="21">
      <c r="B21" s="77" t="inlineStr">
        <is>
          <t>Social Media</t>
        </is>
      </c>
      <c r="C21" s="41" t="inlineStr">
        <is>
          <t>CPA</t>
        </is>
      </c>
      <c r="D21" s="44" t="n">
        <v>125.724</v>
      </c>
      <c r="E21" s="82" t="n">
        <v>104.77</v>
      </c>
      <c r="F21" s="44" t="n">
        <v>83.816</v>
      </c>
      <c r="G21" s="41" t="inlineStr">
        <is>
          <t>+/-20%</t>
        </is>
      </c>
      <c r="H21" s="83" t="inlineStr">
        <is>
          <t>MEDIUM</t>
        </is>
      </c>
    </row>
    <row r="22">
      <c r="B22" s="68" t="inlineStr">
        <is>
          <t>Social Media</t>
        </is>
      </c>
      <c r="C22" s="36" t="inlineStr">
        <is>
          <t>Applications</t>
        </is>
      </c>
      <c r="D22" s="65" t="n">
        <v>2087</v>
      </c>
      <c r="E22" s="69" t="n">
        <v>2609</v>
      </c>
      <c r="F22" s="65" t="n">
        <v>3130</v>
      </c>
      <c r="G22" s="36" t="inlineStr">
        <is>
          <t>+/-20%</t>
        </is>
      </c>
      <c r="H22" s="52" t="inlineStr">
        <is>
          <t>MEDIUM</t>
        </is>
      </c>
    </row>
    <row r="23">
      <c r="B23" s="77" t="inlineStr">
        <is>
          <t>Social Media</t>
        </is>
      </c>
      <c r="C23" s="41" t="inlineStr">
        <is>
          <t>Hires</t>
        </is>
      </c>
      <c r="D23" s="62" t="n">
        <v>5</v>
      </c>
      <c r="E23" s="84" t="n">
        <v>7</v>
      </c>
      <c r="F23" s="62" t="n">
        <v>8</v>
      </c>
      <c r="G23" s="41" t="inlineStr">
        <is>
          <t>+/-20%</t>
        </is>
      </c>
      <c r="H23" s="83" t="inlineStr">
        <is>
          <t>MEDIUM</t>
        </is>
      </c>
    </row>
    <row r="24">
      <c r="B24" s="68" t="inlineStr">
        <is>
          <t>Social Media</t>
        </is>
      </c>
      <c r="C24" s="36" t="inlineStr">
        <is>
          <t>Cost Per Hire</t>
        </is>
      </c>
      <c r="D24" s="39" t="n">
        <v>54667.586</v>
      </c>
      <c r="E24" s="85" t="n">
        <v>39048.27571428572</v>
      </c>
      <c r="F24" s="39" t="n">
        <v>34167.24125</v>
      </c>
      <c r="G24" s="36" t="inlineStr">
        <is>
          <t>+/-20%</t>
        </is>
      </c>
      <c r="H24" s="52" t="inlineStr">
        <is>
          <t>MEDIUM</t>
        </is>
      </c>
    </row>
    <row r="25">
      <c r="B25" s="77" t="inlineStr">
        <is>
          <t>Regional Job Boards</t>
        </is>
      </c>
      <c r="C25" s="41" t="inlineStr">
        <is>
          <t>CPA</t>
        </is>
      </c>
      <c r="D25" s="44" t="n">
        <v>7.476</v>
      </c>
      <c r="E25" s="82" t="n">
        <v>6.23</v>
      </c>
      <c r="F25" s="44" t="n">
        <v>4.984000000000001</v>
      </c>
      <c r="G25" s="41" t="inlineStr">
        <is>
          <t>+/-20%</t>
        </is>
      </c>
      <c r="H25" s="83" t="inlineStr">
        <is>
          <t>MEDIUM</t>
        </is>
      </c>
    </row>
    <row r="26">
      <c r="B26" s="68" t="inlineStr">
        <is>
          <t>Regional Job Boards</t>
        </is>
      </c>
      <c r="C26" s="36" t="inlineStr">
        <is>
          <t>Applications</t>
        </is>
      </c>
      <c r="D26" s="65" t="n">
        <v>34354</v>
      </c>
      <c r="E26" s="69" t="n">
        <v>42943</v>
      </c>
      <c r="F26" s="65" t="n">
        <v>51531</v>
      </c>
      <c r="G26" s="36" t="inlineStr">
        <is>
          <t>+/-20%</t>
        </is>
      </c>
      <c r="H26" s="52" t="inlineStr">
        <is>
          <t>MEDIUM</t>
        </is>
      </c>
    </row>
    <row r="27">
      <c r="B27" s="77" t="inlineStr">
        <is>
          <t>Regional Job Boards</t>
        </is>
      </c>
      <c r="C27" s="41" t="inlineStr">
        <is>
          <t>Hires</t>
        </is>
      </c>
      <c r="D27" s="62" t="n">
        <v>163</v>
      </c>
      <c r="E27" s="84" t="n">
        <v>204</v>
      </c>
      <c r="F27" s="62" t="n">
        <v>244</v>
      </c>
      <c r="G27" s="41" t="inlineStr">
        <is>
          <t>+/-20%</t>
        </is>
      </c>
      <c r="H27" s="83" t="inlineStr">
        <is>
          <t>MEDIUM</t>
        </is>
      </c>
    </row>
    <row r="28">
      <c r="B28" s="68" t="inlineStr">
        <is>
          <t>Regional Job Boards</t>
        </is>
      </c>
      <c r="C28" s="36" t="inlineStr">
        <is>
          <t>Cost Per Hire</t>
        </is>
      </c>
      <c r="D28" s="39" t="n">
        <v>1641.548527607362</v>
      </c>
      <c r="E28" s="85" t="n">
        <v>1311.629460784314</v>
      </c>
      <c r="F28" s="39" t="n">
        <v>1096.608237704918</v>
      </c>
      <c r="G28" s="36" t="inlineStr">
        <is>
          <t>+/-20%</t>
        </is>
      </c>
      <c r="H28" s="52" t="inlineStr">
        <is>
          <t>MEDIUM</t>
        </is>
      </c>
    </row>
    <row r="29">
      <c r="B29" s="77" t="inlineStr">
        <is>
          <t>APAC Regional</t>
        </is>
      </c>
      <c r="C29" s="41" t="inlineStr">
        <is>
          <t>CPA</t>
        </is>
      </c>
      <c r="D29" s="44" t="n">
        <v>7.476</v>
      </c>
      <c r="E29" s="82" t="n">
        <v>6.23</v>
      </c>
      <c r="F29" s="44" t="n">
        <v>4.984000000000001</v>
      </c>
      <c r="G29" s="41" t="inlineStr">
        <is>
          <t>+/-20%</t>
        </is>
      </c>
      <c r="H29" s="83" t="inlineStr">
        <is>
          <t>MEDIUM</t>
        </is>
      </c>
    </row>
    <row r="30">
      <c r="B30" s="68" t="inlineStr">
        <is>
          <t>APAC Regional</t>
        </is>
      </c>
      <c r="C30" s="36" t="inlineStr">
        <is>
          <t>Applications</t>
        </is>
      </c>
      <c r="D30" s="65" t="n">
        <v>25109</v>
      </c>
      <c r="E30" s="69" t="n">
        <v>31387</v>
      </c>
      <c r="F30" s="65" t="n">
        <v>37664</v>
      </c>
      <c r="G30" s="36" t="inlineStr">
        <is>
          <t>+/-20%</t>
        </is>
      </c>
      <c r="H30" s="52" t="inlineStr">
        <is>
          <t>MEDIUM</t>
        </is>
      </c>
    </row>
    <row r="31">
      <c r="B31" s="77" t="inlineStr">
        <is>
          <t>APAC Regional</t>
        </is>
      </c>
      <c r="C31" s="41" t="inlineStr">
        <is>
          <t>Hires</t>
        </is>
      </c>
      <c r="D31" s="62" t="n">
        <v>119</v>
      </c>
      <c r="E31" s="84" t="n">
        <v>149</v>
      </c>
      <c r="F31" s="62" t="n">
        <v>178</v>
      </c>
      <c r="G31" s="41" t="inlineStr">
        <is>
          <t>+/-20%</t>
        </is>
      </c>
      <c r="H31" s="83" t="inlineStr">
        <is>
          <t>MEDIUM</t>
        </is>
      </c>
    </row>
    <row r="32">
      <c r="B32" s="68" t="inlineStr">
        <is>
          <t>APAC Regional</t>
        </is>
      </c>
      <c r="C32" s="36" t="inlineStr">
        <is>
          <t>Cost Per Hire</t>
        </is>
      </c>
      <c r="D32" s="39" t="n">
        <v>1643.465630252101</v>
      </c>
      <c r="E32" s="85" t="n">
        <v>1312.566510067114</v>
      </c>
      <c r="F32" s="39" t="n">
        <v>1098.721404494382</v>
      </c>
      <c r="G32" s="36" t="inlineStr">
        <is>
          <t>+/-20%</t>
        </is>
      </c>
      <c r="H32" s="52" t="inlineStr">
        <is>
          <t>MEDIUM</t>
        </is>
      </c>
    </row>
    <row r="33">
      <c r="B33" s="77" t="inlineStr">
        <is>
          <t>EMEA Regional</t>
        </is>
      </c>
      <c r="C33" s="41" t="inlineStr">
        <is>
          <t>CPA</t>
        </is>
      </c>
      <c r="D33" s="44" t="n">
        <v>7.476</v>
      </c>
      <c r="E33" s="82" t="n">
        <v>6.23</v>
      </c>
      <c r="F33" s="44" t="n">
        <v>4.984000000000001</v>
      </c>
      <c r="G33" s="41" t="inlineStr">
        <is>
          <t>+/-20%</t>
        </is>
      </c>
      <c r="H33" s="83" t="inlineStr">
        <is>
          <t>MEDIUM</t>
        </is>
      </c>
    </row>
    <row r="34">
      <c r="B34" s="68" t="inlineStr">
        <is>
          <t>EMEA Regional</t>
        </is>
      </c>
      <c r="C34" s="36" t="inlineStr">
        <is>
          <t>Applications</t>
        </is>
      </c>
      <c r="D34" s="65" t="n">
        <v>25109</v>
      </c>
      <c r="E34" s="69" t="n">
        <v>31387</v>
      </c>
      <c r="F34" s="65" t="n">
        <v>37664</v>
      </c>
      <c r="G34" s="36" t="inlineStr">
        <is>
          <t>+/-20%</t>
        </is>
      </c>
      <c r="H34" s="52" t="inlineStr">
        <is>
          <t>MEDIUM</t>
        </is>
      </c>
    </row>
    <row r="35">
      <c r="B35" s="77" t="inlineStr">
        <is>
          <t>EMEA Regional</t>
        </is>
      </c>
      <c r="C35" s="41" t="inlineStr">
        <is>
          <t>Hires</t>
        </is>
      </c>
      <c r="D35" s="62" t="n">
        <v>119</v>
      </c>
      <c r="E35" s="84" t="n">
        <v>149</v>
      </c>
      <c r="F35" s="62" t="n">
        <v>178</v>
      </c>
      <c r="G35" s="41" t="inlineStr">
        <is>
          <t>+/-20%</t>
        </is>
      </c>
      <c r="H35" s="83" t="inlineStr">
        <is>
          <t>MEDIUM</t>
        </is>
      </c>
    </row>
    <row r="36">
      <c r="B36" s="68" t="inlineStr">
        <is>
          <t>EMEA Regional</t>
        </is>
      </c>
      <c r="C36" s="36" t="inlineStr">
        <is>
          <t>Cost Per Hire</t>
        </is>
      </c>
      <c r="D36" s="39" t="n">
        <v>1643.465630252101</v>
      </c>
      <c r="E36" s="85" t="n">
        <v>1312.566510067114</v>
      </c>
      <c r="F36" s="39" t="n">
        <v>1098.721404494382</v>
      </c>
      <c r="G36" s="36" t="inlineStr">
        <is>
          <t>+/-20%</t>
        </is>
      </c>
      <c r="H36" s="52" t="inlineStr">
        <is>
          <t>MEDIUM</t>
        </is>
      </c>
    </row>
    <row r="37">
      <c r="B37" s="77" t="inlineStr">
        <is>
          <t>Niche / Industry Boards</t>
        </is>
      </c>
      <c r="C37" s="41" t="inlineStr">
        <is>
          <t>CPA</t>
        </is>
      </c>
      <c r="D37" s="44" t="n">
        <v>25.0125</v>
      </c>
      <c r="E37" s="82" t="n">
        <v>20.01</v>
      </c>
      <c r="F37" s="44" t="n">
        <v>15.0075</v>
      </c>
      <c r="G37" s="41" t="inlineStr">
        <is>
          <t>+/-25%</t>
        </is>
      </c>
      <c r="H37" s="81" t="inlineStr">
        <is>
          <t>LOW</t>
        </is>
      </c>
    </row>
    <row r="38">
      <c r="B38" s="68" t="inlineStr">
        <is>
          <t>Niche / Industry Boards</t>
        </is>
      </c>
      <c r="C38" s="36" t="inlineStr">
        <is>
          <t>Applications</t>
        </is>
      </c>
      <c r="D38" s="65" t="n">
        <v>2249</v>
      </c>
      <c r="E38" s="69" t="n">
        <v>2999</v>
      </c>
      <c r="F38" s="65" t="n">
        <v>3748</v>
      </c>
      <c r="G38" s="36" t="inlineStr">
        <is>
          <t>+/-25%</t>
        </is>
      </c>
      <c r="H38" s="86" t="inlineStr">
        <is>
          <t>LOW</t>
        </is>
      </c>
    </row>
    <row r="39">
      <c r="B39" s="77" t="inlineStr">
        <is>
          <t>Niche / Industry Boards</t>
        </is>
      </c>
      <c r="C39" s="41" t="inlineStr">
        <is>
          <t>Hires</t>
        </is>
      </c>
      <c r="D39" s="62" t="n">
        <v>17</v>
      </c>
      <c r="E39" s="84" t="n">
        <v>23</v>
      </c>
      <c r="F39" s="62" t="n">
        <v>28</v>
      </c>
      <c r="G39" s="41" t="inlineStr">
        <is>
          <t>+/-25%</t>
        </is>
      </c>
      <c r="H39" s="81" t="inlineStr">
        <is>
          <t>LOW</t>
        </is>
      </c>
    </row>
    <row r="40">
      <c r="B40" s="68" t="inlineStr">
        <is>
          <t>Niche / Industry Boards</t>
        </is>
      </c>
      <c r="C40" s="36" t="inlineStr">
        <is>
          <t>Cost Per Hire</t>
        </is>
      </c>
      <c r="D40" s="39" t="n">
        <v>3529.411764705882</v>
      </c>
      <c r="E40" s="85" t="n">
        <v>2608.695652173913</v>
      </c>
      <c r="F40" s="39" t="n">
        <v>2142.857142857143</v>
      </c>
      <c r="G40" s="36" t="inlineStr">
        <is>
          <t>+/-25%</t>
        </is>
      </c>
      <c r="H40" s="86" t="inlineStr">
        <is>
          <t>LOW</t>
        </is>
      </c>
    </row>
    <row r="41">
      <c r="B41" s="77" t="inlineStr">
        <is>
          <t>Employer Branding</t>
        </is>
      </c>
      <c r="C41" s="41" t="inlineStr">
        <is>
          <t>CPA</t>
        </is>
      </c>
      <c r="D41" s="44" t="n">
        <v>46.90000000000001</v>
      </c>
      <c r="E41" s="82" t="n">
        <v>37.52</v>
      </c>
      <c r="F41" s="44" t="n">
        <v>28.14</v>
      </c>
      <c r="G41" s="41" t="inlineStr">
        <is>
          <t>+/-25%</t>
        </is>
      </c>
      <c r="H41" s="81" t="inlineStr">
        <is>
          <t>LOW</t>
        </is>
      </c>
    </row>
    <row r="42">
      <c r="B42" s="68" t="inlineStr">
        <is>
          <t>Employer Branding</t>
        </is>
      </c>
      <c r="C42" s="36" t="inlineStr">
        <is>
          <t>Applications</t>
        </is>
      </c>
      <c r="D42" s="65" t="n">
        <v>1199</v>
      </c>
      <c r="E42" s="69" t="n">
        <v>1599</v>
      </c>
      <c r="F42" s="65" t="n">
        <v>1998</v>
      </c>
      <c r="G42" s="36" t="inlineStr">
        <is>
          <t>+/-25%</t>
        </is>
      </c>
      <c r="H42" s="86" t="inlineStr">
        <is>
          <t>LOW</t>
        </is>
      </c>
    </row>
    <row r="44">
      <c r="B44" s="2" t="inlineStr">
        <is>
          <t>Note: Pessimistic/Optimistic estimates reflect the range of likely outcomes. For cost metrics (CPA, CPH), pessimistic = higher cost, optimistic = lower cost. For volume metrics (Applications, Hires), pessimistic = lower volume, optimistic = higher volume.</t>
        </is>
      </c>
    </row>
    <row r="46">
      <c r="B46" s="2" t="inlineStr">
        <is>
          <t>Confidence levels are determined by the number and quality of data sources: HIGH (2+ independent sources), MEDIUM (1 validated source), LOW (estimated).</t>
        </is>
      </c>
    </row>
    <row r="48">
      <c r="B48" s="2" t="inlineStr">
        <is>
          <t>Generated by Nova AI Media Plan Generator | July 23, 2026 | Created by Shubham Singh Chandel | Joveo Global Supply Team</t>
        </is>
      </c>
    </row>
  </sheetData>
  <mergeCells count="8">
    <mergeCell ref="B3:C3"/>
    <mergeCell ref="B44:H44"/>
    <mergeCell ref="B2:H2"/>
    <mergeCell ref="B48:H48"/>
    <mergeCell ref="B11:H11"/>
    <mergeCell ref="B5:H5"/>
    <mergeCell ref="D3:H3"/>
    <mergeCell ref="B46:H46"/>
  </mergeCells>
  <pageMargins left="0.75" right="0.75" top="1" bottom="1" header="0.5" footer="0.5"/>
</worksheet>
</file>

<file path=xl/worksheets/sheet9.xml><?xml version="1.0" encoding="utf-8"?>
<worksheet xmlns="http://schemas.openxmlformats.org/spreadsheetml/2006/main">
  <sheetPr>
    <tabColor rgb="00B7669E"/>
    <outlinePr summaryBelow="1" summaryRight="1"/>
    <pageSetUpPr/>
  </sheetPr>
  <dimension ref="B2:H16"/>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24" customWidth="1" min="2" max="2"/>
    <col width="22" customWidth="1" min="3" max="3"/>
    <col width="22" customWidth="1" min="4" max="4"/>
    <col width="40" customWidth="1" min="5" max="5"/>
    <col width="16" customWidth="1" min="6" max="6"/>
  </cols>
  <sheetData>
    <row r="2" ht="28" customHeight="1">
      <c r="B2" s="3" t="inlineStr">
        <is>
          <t>ROLE-LEVEL NICHE BOARD RECOMMENDATIONS</t>
        </is>
      </c>
    </row>
    <row r="3">
      <c r="B3" s="7" t="inlineStr">
        <is>
          <t>Purpose</t>
        </is>
      </c>
      <c r="D3" s="8" t="inlineStr">
        <is>
          <t>Specialty job boards matched to your target roles for higher-quality, lower-CPA applicants. This plan anchors total hires to cost-per-hire benchmarks rather than a funnel model (see ROI Projections, Methodology), so the implied 0.8% apply-to-hire rate shown here (23 hires / 2999 applications) is a conservative lower bound of this channel's modeled contribution, not a literal conversion assumption. Industry benchmark is 10-15% apply-to-hire vs. 5-8% on general boards -- if niche boards convert at even 5% (the general-board floor), expect 126 additional hires from this channel -- treat as upside, not plan-of-record.</t>
        </is>
      </c>
    </row>
    <row r="5">
      <c r="B5" s="7" t="inlineStr">
        <is>
          <t>Status</t>
        </is>
      </c>
      <c r="D5" s="8" t="inlineStr">
        <is>
          <t>US-domiciled specialty job boards are not shown because this plan targets a non-US market and no local niche-board data was available for this campaign. Consider general-purpose boards available in-market (e.g. Seek, Trade Me Jobs, LinkedIn) with targeted ad copy and audience filters.</t>
        </is>
      </c>
    </row>
    <row r="7" ht="22" customHeight="1">
      <c r="B7" s="29" t="inlineStr">
        <is>
          <t>Niche Board Best Practices</t>
        </is>
      </c>
    </row>
    <row r="8">
      <c r="B8" s="77" t="inlineStr">
        <is>
          <t>Budget Allocation</t>
        </is>
      </c>
      <c r="C8" s="41" t="inlineStr">
        <is>
          <t>Allocate 10-20% of total budget to niche boards for quality volume</t>
        </is>
      </c>
    </row>
    <row r="9">
      <c r="B9" s="68" t="inlineStr">
        <is>
          <t>Job Posting Optimization</t>
        </is>
      </c>
      <c r="C9" s="36" t="inlineStr">
        <is>
          <t>Use role-specific keywords and certifications in titles</t>
        </is>
      </c>
    </row>
    <row r="10">
      <c r="B10" s="77" t="inlineStr">
        <is>
          <t>Employer Branding</t>
        </is>
      </c>
      <c r="C10" s="41" t="inlineStr">
        <is>
          <t>Many niche boards offer enhanced profiles — invest in brand presence</t>
        </is>
      </c>
    </row>
    <row r="11">
      <c r="B11" s="68" t="inlineStr">
        <is>
          <t>Tracking</t>
        </is>
      </c>
      <c r="C11" s="36" t="inlineStr">
        <is>
          <t>Set up UTM parameters per niche board to measure quality of applicants</t>
        </is>
      </c>
    </row>
    <row r="12">
      <c r="B12" s="77" t="inlineStr">
        <is>
          <t>Refresh Cadence</t>
        </is>
      </c>
      <c r="C12" s="41" t="inlineStr">
        <is>
          <t>Re-post or refresh listings every 14-21 days for visibility</t>
        </is>
      </c>
    </row>
    <row r="14">
      <c r="B14" s="2" t="inlineStr">
        <is>
          <t>Niche boards are matched based on role title keyword analysis. Board availability and pricing may vary. Verify current offerings before purchasing.</t>
        </is>
      </c>
    </row>
    <row r="16">
      <c r="B16" s="2" t="inlineStr">
        <is>
          <t>Generated by Nova AI Media Plan Generator | July 23, 2026 | Created by Shubham Singh Chandel | Joveo Global Supply Team</t>
        </is>
      </c>
    </row>
  </sheetData>
  <mergeCells count="8">
    <mergeCell ref="B14:H14"/>
    <mergeCell ref="B3:C3"/>
    <mergeCell ref="B5:C5"/>
    <mergeCell ref="D5:H5"/>
    <mergeCell ref="B2:H2"/>
    <mergeCell ref="B16:H16"/>
    <mergeCell ref="B7:H7"/>
    <mergeCell ref="D3:H3"/>
  </mergeCells>
  <pageMargins left="0.75" right="0.75" top="1" bottom="1" header="0.5" footer="0.5"/>
</worksheet>
</file>

<file path=xl/worksheets/sheet10.xml><?xml version="1.0" encoding="utf-8"?>
<worksheet xmlns="http://schemas.openxmlformats.org/spreadsheetml/2006/main">
  <sheetPr>
    <tabColor rgb="005A54BE"/>
    <outlinePr summaryBelow="1" summaryRight="1"/>
    <pageSetUpPr/>
  </sheetPr>
  <dimension ref="B1:L2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24" customWidth="1" min="2" max="2"/>
    <col width="26" customWidth="1" min="3" max="3"/>
    <col width="10" customWidth="1" min="4" max="4"/>
    <col width="14" customWidth="1" min="5" max="5"/>
    <col width="10" customWidth="1" min="6" max="6"/>
    <col width="10" customWidth="1" min="7" max="7"/>
    <col width="10" customWidth="1" min="8" max="8"/>
    <col width="10" customWidth="1" min="9" max="9"/>
    <col width="10" customWidth="1" min="10" max="10"/>
    <col width="12" customWidth="1" min="11" max="11"/>
    <col width="46" customWidth="1" min="12" max="12"/>
  </cols>
  <sheetData>
    <row r="1">
      <c r="B1" s="87" t="inlineStr">
        <is>
          <t>Channel Recommendations</t>
        </is>
      </c>
      <c r="C1" s="88" t="n"/>
      <c r="D1" s="88" t="n"/>
      <c r="E1" s="88" t="n"/>
      <c r="F1" s="88" t="n"/>
      <c r="G1" s="88" t="n"/>
      <c r="H1" s="88" t="n"/>
      <c r="I1" s="88" t="n"/>
      <c r="J1" s="88" t="n"/>
      <c r="K1" s="88" t="n"/>
      <c r="L1" s="88" t="n"/>
    </row>
    <row r="2" ht="42" customHeight="1">
      <c r="B2" s="55" t="inlineStr">
        <is>
          <t>This sheet re-frames the SAME plan shown on the Executive Summary, ROI Projections, and 90-Day Forecast sheets — organised by recommended ad platform and investment tier. Every Spend, Applications, Hires, and CPA figure below is identical to those sheets, and the Spend column foots to the total budget. It is not an alternative scenario.</t>
        </is>
      </c>
    </row>
    <row r="4">
      <c r="B4" s="26" t="inlineStr">
        <is>
          <t>Industry</t>
        </is>
      </c>
      <c r="C4" s="27" t="inlineStr">
        <is>
          <t>Hospitality &amp; Travel</t>
        </is>
      </c>
    </row>
    <row r="5">
      <c r="B5" s="26" t="inlineStr">
        <is>
          <t>Role</t>
        </is>
      </c>
      <c r="C5" s="27" t="inlineStr">
        <is>
          <t>commercial cab driver</t>
        </is>
      </c>
    </row>
    <row r="6">
      <c r="B6" s="26" t="inlineStr">
        <is>
          <t>Budget</t>
        </is>
      </c>
      <c r="C6" s="28" t="n">
        <v>1999999.98</v>
      </c>
    </row>
    <row r="7">
      <c r="B7" s="26" t="inlineStr">
        <is>
          <t>Proj. Applications</t>
        </is>
      </c>
      <c r="C7" s="89" t="n">
        <v>281721</v>
      </c>
    </row>
    <row r="8">
      <c r="B8" s="26" t="inlineStr">
        <is>
          <t>Proj. Hires</t>
        </is>
      </c>
      <c r="C8" s="89" t="n">
        <v>1230</v>
      </c>
    </row>
    <row r="9">
      <c r="B9" s="26" t="inlineStr">
        <is>
          <t>Avg CPA</t>
        </is>
      </c>
      <c r="C9" s="90" t="n">
        <v>7.1</v>
      </c>
    </row>
    <row r="11">
      <c r="B11" s="91" t="inlineStr">
        <is>
          <t>MUST HAVE</t>
        </is>
      </c>
      <c r="C11" s="92" t="n"/>
      <c r="D11" s="92" t="n"/>
      <c r="E11" s="92" t="n"/>
      <c r="F11" s="92" t="n"/>
      <c r="G11" s="92" t="n"/>
      <c r="H11" s="92" t="n"/>
      <c r="I11" s="92" t="n"/>
      <c r="J11" s="92" t="n"/>
      <c r="K11" s="92" t="n"/>
      <c r="L11" s="92" t="n"/>
    </row>
    <row r="12">
      <c r="B12" s="93" t="inlineStr">
        <is>
          <t>Channel</t>
        </is>
      </c>
      <c r="C12" s="93" t="inlineStr">
        <is>
          <t>Recommended Platform</t>
        </is>
      </c>
      <c r="D12" s="93" t="inlineStr">
        <is>
          <t>Alloc %</t>
        </is>
      </c>
      <c r="E12" s="93" t="inlineStr">
        <is>
          <t>Spend</t>
        </is>
      </c>
      <c r="F12" s="93" t="inlineStr">
        <is>
          <t>CPC</t>
        </is>
      </c>
      <c r="G12" s="93" t="inlineStr">
        <is>
          <t>CPA</t>
        </is>
      </c>
      <c r="H12" s="93" t="inlineStr">
        <is>
          <t>Clicks</t>
        </is>
      </c>
      <c r="I12" s="93" t="inlineStr">
        <is>
          <t>Apps</t>
        </is>
      </c>
      <c r="J12" s="93" t="inlineStr">
        <is>
          <t>Hires</t>
        </is>
      </c>
      <c r="K12" s="93" t="inlineStr">
        <is>
          <t>Confidence</t>
        </is>
      </c>
      <c r="L12" s="93" t="inlineStr">
        <is>
          <t>Rationale</t>
        </is>
      </c>
    </row>
    <row r="13" ht="34" customHeight="1">
      <c r="B13" s="68" t="inlineStr">
        <is>
          <t>Programmatic (DSP)</t>
        </is>
      </c>
      <c r="C13" s="36" t="inlineStr">
        <is>
          <t>Programmatic Display (DSP)</t>
        </is>
      </c>
      <c r="D13" s="37" t="n">
        <v>0.281</v>
      </c>
      <c r="E13" s="38" t="n">
        <v>561772.41</v>
      </c>
      <c r="F13" s="39" t="n">
        <v>0.23</v>
      </c>
      <c r="G13" s="39" t="n">
        <v>3.83</v>
      </c>
      <c r="H13" s="65" t="n">
        <v>2442488</v>
      </c>
      <c r="I13" s="65" t="n">
        <v>146549</v>
      </c>
      <c r="J13" s="65" t="n">
        <v>566</v>
      </c>
      <c r="K13" s="36" t="inlineStr">
        <is>
          <t>MEDIUM</t>
        </is>
      </c>
      <c r="L13" s="75" t="inlineStr">
        <is>
          <t>Buy via Programmatic Display (DSP). 28.1% of budget; part of the plan's core channel mix.</t>
        </is>
      </c>
    </row>
    <row r="14" ht="34" customHeight="1">
      <c r="B14" s="68" t="inlineStr">
        <is>
          <t>Global Job Boards</t>
        </is>
      </c>
      <c r="C14" s="36" t="inlineStr">
        <is>
          <t>Indeed Sponsored Jobs</t>
        </is>
      </c>
      <c r="D14" s="37" t="n">
        <v>0.193</v>
      </c>
      <c r="E14" s="38" t="n">
        <v>386172.41</v>
      </c>
      <c r="F14" s="39" t="n">
        <v>1.62</v>
      </c>
      <c r="G14" s="39" t="n">
        <v>17.36</v>
      </c>
      <c r="H14" s="65" t="n">
        <v>238378</v>
      </c>
      <c r="I14" s="65" t="n">
        <v>22248</v>
      </c>
      <c r="J14" s="65" t="n">
        <v>132</v>
      </c>
      <c r="K14" s="36" t="inlineStr">
        <is>
          <t>MEDIUM</t>
        </is>
      </c>
      <c r="L14" s="75" t="inlineStr">
        <is>
          <t>Buy via Indeed Sponsored Jobs. 19.3% of budget; part of the plan's core channel mix.</t>
        </is>
      </c>
    </row>
    <row r="15" ht="34" customHeight="1">
      <c r="B15" s="68" t="inlineStr">
        <is>
          <t>Social Media</t>
        </is>
      </c>
      <c r="C15" s="36" t="inlineStr">
        <is>
          <t>LinkedIn / Meta / TikTok Ads</t>
        </is>
      </c>
      <c r="D15" s="37" t="n">
        <v>0.136</v>
      </c>
      <c r="E15" s="38" t="n">
        <v>273337.93</v>
      </c>
      <c r="F15" s="39" t="n">
        <v>2.6</v>
      </c>
      <c r="G15" s="39" t="n">
        <v>104.77</v>
      </c>
      <c r="H15" s="65" t="n">
        <v>105129</v>
      </c>
      <c r="I15" s="65" t="n">
        <v>2609</v>
      </c>
      <c r="J15" s="65" t="n">
        <v>7</v>
      </c>
      <c r="K15" s="36" t="inlineStr">
        <is>
          <t>MEDIUM</t>
        </is>
      </c>
      <c r="L15" s="75" t="inlineStr">
        <is>
          <t>Buy via LinkedIn / Meta / TikTok Ads. 13.6% of budget; part of the plan's core channel mix.</t>
        </is>
      </c>
    </row>
    <row r="16" ht="34" customHeight="1">
      <c r="B16" s="68" t="inlineStr">
        <is>
          <t>Regional Job Boards</t>
        </is>
      </c>
      <c r="C16" s="36" t="inlineStr">
        <is>
          <t>Regional &amp; aggregator boards</t>
        </is>
      </c>
      <c r="D16" s="37" t="n">
        <v>0.134</v>
      </c>
      <c r="E16" s="38" t="n">
        <v>267572.41</v>
      </c>
      <c r="F16" s="39" t="n">
        <v>0.42</v>
      </c>
      <c r="G16" s="39" t="n">
        <v>6.23</v>
      </c>
      <c r="H16" s="65" t="n">
        <v>637077</v>
      </c>
      <c r="I16" s="65" t="n">
        <v>42943</v>
      </c>
      <c r="J16" s="65" t="n">
        <v>204</v>
      </c>
      <c r="K16" s="36" t="inlineStr">
        <is>
          <t>MEDIUM</t>
        </is>
      </c>
      <c r="L16" s="75" t="inlineStr">
        <is>
          <t>Buy via Regional &amp; aggregator boards. 13.4% of budget; part of the plan's core channel mix.</t>
        </is>
      </c>
    </row>
    <row r="18">
      <c r="B18" s="94" t="inlineStr">
        <is>
          <t>SHOULD HAVE</t>
        </is>
      </c>
      <c r="C18" s="95" t="n"/>
      <c r="D18" s="95" t="n"/>
      <c r="E18" s="95" t="n"/>
      <c r="F18" s="95" t="n"/>
      <c r="G18" s="95" t="n"/>
      <c r="H18" s="95" t="n"/>
      <c r="I18" s="95" t="n"/>
      <c r="J18" s="95" t="n"/>
      <c r="K18" s="95" t="n"/>
      <c r="L18" s="95" t="n"/>
    </row>
    <row r="19">
      <c r="B19" s="93" t="inlineStr">
        <is>
          <t>Channel</t>
        </is>
      </c>
      <c r="C19" s="93" t="inlineStr">
        <is>
          <t>Recommended Platform</t>
        </is>
      </c>
      <c r="D19" s="93" t="inlineStr">
        <is>
          <t>Alloc %</t>
        </is>
      </c>
      <c r="E19" s="93" t="inlineStr">
        <is>
          <t>Spend</t>
        </is>
      </c>
      <c r="F19" s="93" t="inlineStr">
        <is>
          <t>CPC</t>
        </is>
      </c>
      <c r="G19" s="93" t="inlineStr">
        <is>
          <t>CPA</t>
        </is>
      </c>
      <c r="H19" s="93" t="inlineStr">
        <is>
          <t>Clicks</t>
        </is>
      </c>
      <c r="I19" s="93" t="inlineStr">
        <is>
          <t>Apps</t>
        </is>
      </c>
      <c r="J19" s="93" t="inlineStr">
        <is>
          <t>Hires</t>
        </is>
      </c>
      <c r="K19" s="93" t="inlineStr">
        <is>
          <t>Confidence</t>
        </is>
      </c>
      <c r="L19" s="93" t="inlineStr">
        <is>
          <t>Rationale</t>
        </is>
      </c>
    </row>
    <row r="20" ht="34" customHeight="1">
      <c r="B20" s="68" t="inlineStr">
        <is>
          <t>APAC Regional</t>
        </is>
      </c>
      <c r="C20" s="36" t="inlineStr">
        <is>
          <t>Regional &amp; aggregator boards</t>
        </is>
      </c>
      <c r="D20" s="37" t="n">
        <v>0.098</v>
      </c>
      <c r="E20" s="38" t="n">
        <v>195572.41</v>
      </c>
      <c r="F20" s="39" t="n">
        <v>0.42</v>
      </c>
      <c r="G20" s="39" t="n">
        <v>6.23</v>
      </c>
      <c r="H20" s="65" t="n">
        <v>465648</v>
      </c>
      <c r="I20" s="65" t="n">
        <v>31387</v>
      </c>
      <c r="J20" s="65" t="n">
        <v>149</v>
      </c>
      <c r="K20" s="36" t="inlineStr">
        <is>
          <t>MEDIUM</t>
        </is>
      </c>
      <c r="L20" s="75" t="inlineStr">
        <is>
          <t>Buy via Regional &amp; aggregator boards. 9.8% of budget; part of the plan's core channel mix.</t>
        </is>
      </c>
    </row>
    <row r="21" ht="34" customHeight="1">
      <c r="B21" s="68" t="inlineStr">
        <is>
          <t>EMEA Regional</t>
        </is>
      </c>
      <c r="C21" s="36" t="inlineStr">
        <is>
          <t>Regional &amp; aggregator boards</t>
        </is>
      </c>
      <c r="D21" s="37" t="n">
        <v>0.098</v>
      </c>
      <c r="E21" s="38" t="n">
        <v>195572.41</v>
      </c>
      <c r="F21" s="39" t="n">
        <v>0.42</v>
      </c>
      <c r="G21" s="39" t="n">
        <v>6.23</v>
      </c>
      <c r="H21" s="65" t="n">
        <v>465648</v>
      </c>
      <c r="I21" s="65" t="n">
        <v>31387</v>
      </c>
      <c r="J21" s="65" t="n">
        <v>149</v>
      </c>
      <c r="K21" s="36" t="inlineStr">
        <is>
          <t>MEDIUM</t>
        </is>
      </c>
      <c r="L21" s="75" t="inlineStr">
        <is>
          <t>Buy via Regional &amp; aggregator boards. 9.8% of budget; part of the plan's core channel mix.</t>
        </is>
      </c>
    </row>
    <row r="22" ht="34" customHeight="1">
      <c r="B22" s="68" t="inlineStr">
        <is>
          <t>Niche / Industry Boards</t>
        </is>
      </c>
      <c r="C22" s="36" t="inlineStr">
        <is>
          <t>Specialty / niche job boards</t>
        </is>
      </c>
      <c r="D22" s="37" t="n">
        <v>0.03</v>
      </c>
      <c r="E22" s="38" t="n">
        <v>60000</v>
      </c>
      <c r="F22" s="39" t="n">
        <v>1.4</v>
      </c>
      <c r="G22" s="39" t="n">
        <v>20.01</v>
      </c>
      <c r="H22" s="65" t="n">
        <v>42857</v>
      </c>
      <c r="I22" s="65" t="n">
        <v>2999</v>
      </c>
      <c r="J22" s="65" t="n">
        <v>23</v>
      </c>
      <c r="K22" s="36" t="inlineStr">
        <is>
          <t>LOW</t>
        </is>
      </c>
      <c r="L22" s="75" t="inlineStr">
        <is>
          <t>Buy via Specialty / niche job boards. 3.0% of budget; part of the plan's core channel mix.</t>
        </is>
      </c>
    </row>
    <row r="23" ht="34" customHeight="1">
      <c r="B23" s="68" t="inlineStr">
        <is>
          <t>Employer Branding</t>
        </is>
      </c>
      <c r="C23" s="36" t="inlineStr">
        <is>
          <t>Employer-brand content &amp; career site</t>
        </is>
      </c>
      <c r="D23" s="37" t="n">
        <v>0.03</v>
      </c>
      <c r="E23" s="38" t="n">
        <v>60000</v>
      </c>
      <c r="F23" s="39" t="n">
        <v>0.9</v>
      </c>
      <c r="G23" s="39" t="n">
        <v>37.52</v>
      </c>
      <c r="H23" s="65" t="n">
        <v>66666</v>
      </c>
      <c r="I23" s="65" t="n">
        <v>1599</v>
      </c>
      <c r="J23" s="65" t="n">
        <v>0</v>
      </c>
      <c r="K23" s="36" t="inlineStr">
        <is>
          <t>LOW</t>
        </is>
      </c>
      <c r="L23" s="75" t="inlineStr">
        <is>
          <t>Buy via Employer-brand content &amp; career site. 3.0% of budget; part of the plan's core channel mix.</t>
        </is>
      </c>
    </row>
    <row r="25">
      <c r="B25" s="77" t="inlineStr">
        <is>
          <t>TOTAL</t>
        </is>
      </c>
      <c r="C25" s="77" t="inlineStr"/>
      <c r="D25" s="79" t="n">
        <v>1</v>
      </c>
      <c r="E25" s="78" t="n">
        <v>1999999.98</v>
      </c>
      <c r="F25" s="77" t="inlineStr"/>
      <c r="G25" s="82" t="n">
        <v>7.1</v>
      </c>
      <c r="H25" s="84" t="n">
        <v>4463891</v>
      </c>
      <c r="I25" s="84" t="n">
        <v>281721</v>
      </c>
      <c r="J25" s="84" t="n">
        <v>1230</v>
      </c>
      <c r="K25" s="77" t="inlineStr"/>
      <c r="L25" s="77" t="inlineStr"/>
    </row>
    <row r="27">
      <c r="B27" s="55" t="inlineStr">
        <is>
          <t>Source: same Nova AI budget allocation as the Executive Summary and ROI Projections sheets. Platform suggestions map each channel category to a representative ad platform; the plan's economics are unchanged.</t>
        </is>
      </c>
    </row>
  </sheetData>
  <mergeCells count="2">
    <mergeCell ref="B2:L2"/>
    <mergeCell ref="B27:L27"/>
  </mergeCells>
  <pageMargins left="0.75" right="0.75" top="1" bottom="1" header="0.5" footer="0.5"/>
</worksheet>
</file>

<file path=xl/worksheets/sheet11.xml><?xml version="1.0" encoding="utf-8"?>
<worksheet xmlns="http://schemas.openxmlformats.org/spreadsheetml/2006/main">
  <sheetPr>
    <tabColor rgb="006BB5CE"/>
    <outlinePr summaryBelow="1" summaryRight="1"/>
    <pageSetUpPr/>
  </sheetPr>
  <dimension ref="B2:H45"/>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0" customWidth="1" min="3" max="3"/>
    <col width="30" customWidth="1" min="4" max="4"/>
    <col width="16" customWidth="1" min="5" max="5"/>
    <col width="16" customWidth="1" min="6" max="6"/>
    <col width="22" customWidth="1" min="7" max="7"/>
    <col width="40" customWidth="1" min="8" max="8"/>
  </cols>
  <sheetData>
    <row r="2">
      <c r="B2" s="3" t="inlineStr">
        <is>
          <t>International Recruitment Benchmarks</t>
        </is>
      </c>
      <c r="C2" s="96" t="n"/>
      <c r="D2" s="96" t="n"/>
      <c r="E2" s="96" t="n"/>
      <c r="F2" s="96" t="n"/>
      <c r="G2" s="96" t="n"/>
      <c r="H2" s="96" t="n"/>
    </row>
    <row r="3">
      <c r="B3" s="97" t="inlineStr">
        <is>
          <t>Regions: Asia-Pacific, Europe, Middle East &amp; Africa, Latin America, North America (excl. US) | Source: international_benchmarks_2026 (38 countries)</t>
        </is>
      </c>
    </row>
    <row r="5">
      <c r="B5" s="9" t="inlineStr">
        <is>
          <t>Country</t>
        </is>
      </c>
      <c r="C5" s="9" t="inlineStr">
        <is>
          <t>Region</t>
        </is>
      </c>
      <c r="D5" s="9" t="inlineStr">
        <is>
          <t>Top Platforms</t>
        </is>
      </c>
      <c r="E5" s="9" t="inlineStr">
        <is>
          <t>CPC Range (USD)</t>
        </is>
      </c>
      <c r="F5" s="9" t="inlineStr">
        <is>
          <t>CPA Range (USD)</t>
        </is>
      </c>
      <c r="G5" s="9" t="inlineStr">
        <is>
          <t>CPH by Tier (USD)</t>
        </is>
      </c>
      <c r="H5" s="9" t="inlineStr">
        <is>
          <t>Regulatory Notes</t>
        </is>
      </c>
    </row>
    <row r="6">
      <c r="B6" s="41" t="inlineStr">
        <is>
          <t>Argentina</t>
        </is>
      </c>
      <c r="C6" s="41" t="inlineStr">
        <is>
          <t>LATAM</t>
        </is>
      </c>
      <c r="D6" s="41" t="inlineStr">
        <is>
          <t>Bumeran (Navent Group), LinkedIn Argentina, Computrabajo Argentina</t>
        </is>
      </c>
      <c r="E6" s="41" t="inlineStr">
        <is>
          <t>$0.10-$0.60; $0.30-$1.50</t>
        </is>
      </c>
      <c r="F6" s="41" t="inlineStr">
        <is>
          <t>$1-$6; $2-$10</t>
        </is>
      </c>
      <c r="G6" s="41" t="inlineStr">
        <is>
          <t>Entry Level: $500 | Professional: $2,000 | Senior: $5,000 | Executive: $12,000</t>
        </is>
      </c>
      <c r="H6" s="41" t="inlineStr">
        <is>
          <t>Notice: 30d; Argentine Labour Contract Law (Ley 20.744) governs employment</t>
        </is>
      </c>
    </row>
    <row r="7">
      <c r="B7" s="36" t="inlineStr">
        <is>
          <t>Australia</t>
        </is>
      </c>
      <c r="C7" s="36" t="inlineStr">
        <is>
          <t>APAC</t>
        </is>
      </c>
      <c r="D7" s="36" t="inlineStr">
        <is>
          <t>Seek, Indeed Australia, LinkedIn Australia</t>
        </is>
      </c>
      <c r="E7" s="36" t="inlineStr">
        <is>
          <t>$0.98-$3.25; $0.52-$2.28</t>
        </is>
      </c>
      <c r="F7" s="36" t="inlineStr">
        <is>
          <t>$16-$52; $10-$39</t>
        </is>
      </c>
      <c r="G7" s="36" t="inlineStr">
        <is>
          <t>Entry Level: $3,250 | Professional: $7,800 | Senior: $16,250 | Executive: $35,750</t>
        </is>
      </c>
      <c r="H7" s="36" t="inlineStr">
        <is>
          <t>Notice: 28d; Fair Work Act 2009 governs employment relationships</t>
        </is>
      </c>
    </row>
    <row r="8">
      <c r="B8" s="41" t="inlineStr">
        <is>
          <t>Austria</t>
        </is>
      </c>
      <c r="C8" s="41" t="inlineStr">
        <is>
          <t>EMEA</t>
        </is>
      </c>
      <c r="D8" s="41" t="inlineStr">
        <is>
          <t>Karriere.at, AMS (Arbeitsmarktservice), LinkedIn Austria</t>
        </is>
      </c>
      <c r="E8" s="41" t="inlineStr">
        <is>
          <t>$1.09-$5.45; $0.00-$0.00</t>
        </is>
      </c>
      <c r="F8" s="41" t="inlineStr">
        <is>
          <t>$16-$65; $16-$71</t>
        </is>
      </c>
      <c r="G8" s="41" t="inlineStr">
        <is>
          <t>Entry Level: $4,360 | Professional: $10,900 | Senior: $27,250 | Executive: $65,400</t>
        </is>
      </c>
      <c r="H8" s="41" t="inlineStr">
        <is>
          <t>Notice: 30d; Austrian Labour Law (Arbeitsrecht) governs employment</t>
        </is>
      </c>
    </row>
    <row r="9">
      <c r="B9" s="36" t="inlineStr">
        <is>
          <t>Bangladesh</t>
        </is>
      </c>
      <c r="C9" s="36" t="inlineStr">
        <is>
          <t>APAC</t>
        </is>
      </c>
      <c r="D9" s="36" t="inlineStr">
        <is>
          <t>Bdjobs.com, LinkedIn Bangladesh, Prothom Alo Jobs</t>
        </is>
      </c>
      <c r="E9" s="36" t="inlineStr">
        <is>
          <t>$0.04-$0.25; $0.13-$0.67</t>
        </is>
      </c>
      <c r="F9" s="36" t="inlineStr">
        <is>
          <t>$0-$3; $1-$4</t>
        </is>
      </c>
      <c r="G9" s="36" t="inlineStr">
        <is>
          <t>Entry Level: $67 | Professional: $420 | Senior: $1,260 | Executive: $4,200</t>
        </is>
      </c>
      <c r="H9" s="36" t="inlineStr">
        <is>
          <t>Notice: 60d; Bangladesh Labour Act 2006 (amended 2013, 2018) governs employment</t>
        </is>
      </c>
    </row>
    <row r="10">
      <c r="B10" s="41" t="inlineStr">
        <is>
          <t>Belgium</t>
        </is>
      </c>
      <c r="C10" s="41" t="inlineStr">
        <is>
          <t>EMEA</t>
        </is>
      </c>
      <c r="D10" s="41" t="inlineStr">
        <is>
          <t>VDAB / Forem / Actiris, LinkedIn Belgium, StepStone Belgium</t>
        </is>
      </c>
      <c r="E10" s="41" t="inlineStr">
        <is>
          <t>$0.00-$0.00; $1.64-$7.63</t>
        </is>
      </c>
      <c r="F10" s="41" t="inlineStr">
        <is>
          <t>$16-$65; $13-$54</t>
        </is>
      </c>
      <c r="G10" s="41" t="inlineStr">
        <is>
          <t>Entry Level: $4,905 | Professional: $13,080 | Senior: $30,520 | Executive: $70,850</t>
        </is>
      </c>
      <c r="H10" s="41" t="inlineStr">
        <is>
          <t>Notice: 90d; Complex labor law: federal + regional employment regulations</t>
        </is>
      </c>
    </row>
    <row r="11">
      <c r="B11" s="36" t="inlineStr">
        <is>
          <t>Brazil</t>
        </is>
      </c>
      <c r="C11" s="36" t="inlineStr">
        <is>
          <t>LATAM</t>
        </is>
      </c>
      <c r="D11" s="36" t="inlineStr">
        <is>
          <t>LinkedIn Brazil, Catho, InfoJobs Brazil</t>
        </is>
      </c>
      <c r="E11" s="36" t="inlineStr">
        <is>
          <t>$0.38-$1.90; $0.19-$1.14</t>
        </is>
      </c>
      <c r="F11" s="36" t="inlineStr">
        <is>
          <t>$3-$11; $2-$9</t>
        </is>
      </c>
      <c r="G11" s="36" t="inlineStr">
        <is>
          <t>Entry Level: $380 | Professional: $1,520 | Senior: $4,750 | Executive: $15,200</t>
        </is>
      </c>
      <c r="H11" s="36" t="inlineStr">
        <is>
          <t>Notice: 30d; CLT (Consolidacao das Leis do Trabalho) -- comprehensive labor code</t>
        </is>
      </c>
    </row>
    <row r="12">
      <c r="B12" s="41" t="inlineStr">
        <is>
          <t>Canada</t>
        </is>
      </c>
      <c r="C12" s="41" t="inlineStr">
        <is>
          <t>NORTH_AMERICA_EX_US</t>
        </is>
      </c>
      <c r="D12" s="41" t="inlineStr">
        <is>
          <t>Indeed Canada, LinkedIn Canada, Job Bank (Government of Canada)</t>
        </is>
      </c>
      <c r="E12" s="41" t="inlineStr">
        <is>
          <t>$0.19-$1.11; $1.11-$5.18</t>
        </is>
      </c>
      <c r="F12" s="41" t="inlineStr">
        <is>
          <t>$4-$22; $6-$30</t>
        </is>
      </c>
      <c r="G12" s="41" t="inlineStr">
        <is>
          <t>Entry Level: $2,590 | Professional: $5,920 | Senior: $13,320 | Executive: $33,300</t>
        </is>
      </c>
      <c r="H12" s="41" t="inlineStr">
        <is>
          <t>Notice: 14d; Employment standards vary by province (not federal, except federally regulated i</t>
        </is>
      </c>
    </row>
    <row r="13">
      <c r="B13" s="36" t="inlineStr">
        <is>
          <t>Chile</t>
        </is>
      </c>
      <c r="C13" s="36" t="inlineStr">
        <is>
          <t>LATAM</t>
        </is>
      </c>
      <c r="D13" s="36" t="inlineStr">
        <is>
          <t>Trabajando.com / Laborum, LinkedIn Chile, Computrabajo Chile</t>
        </is>
      </c>
      <c r="E13" s="36" t="inlineStr">
        <is>
          <t>$0.22-$1.10; $0.55-$2.75</t>
        </is>
      </c>
      <c r="F13" s="36" t="inlineStr">
        <is>
          <t>$3-$16; $6-$28</t>
        </is>
      </c>
      <c r="G13" s="36" t="inlineStr">
        <is>
          <t>Entry Level: $880 | Professional: $2,750 | Senior: $6,600 | Executive: $16,500</t>
        </is>
      </c>
      <c r="H13" s="36" t="inlineStr">
        <is>
          <t>Notice: 30d; Chilean Labour Code (Codigo del Trabajo) governs employment</t>
        </is>
      </c>
    </row>
    <row r="14">
      <c r="B14" s="41" t="inlineStr">
        <is>
          <t>Colombia</t>
        </is>
      </c>
      <c r="C14" s="41" t="inlineStr">
        <is>
          <t>LATAM</t>
        </is>
      </c>
      <c r="D14" s="41" t="inlineStr">
        <is>
          <t>Computrabajo Colombia, LinkedIn Colombia, elempleo.com</t>
        </is>
      </c>
      <c r="E14" s="41" t="inlineStr">
        <is>
          <t>$0.12-$0.72; $0.36-$1.92</t>
        </is>
      </c>
      <c r="F14" s="41" t="inlineStr">
        <is>
          <t>$1-$7; $2-$12</t>
        </is>
      </c>
      <c r="G14" s="41" t="inlineStr">
        <is>
          <t>Entry Level: $600 | Professional: $1,920 | Senior: $4,800 | Executive: $12,000</t>
        </is>
      </c>
      <c r="H14" s="41" t="inlineStr">
        <is>
          <t>Notice: 15d; Colombian Labour Code (Codigo Sustantivo del Trabajo) governs employment</t>
        </is>
      </c>
    </row>
    <row r="15">
      <c r="B15" s="36" t="inlineStr">
        <is>
          <t>Czech Republic</t>
        </is>
      </c>
      <c r="C15" s="36" t="inlineStr">
        <is>
          <t>EMEA</t>
        </is>
      </c>
      <c r="D15" s="36" t="inlineStr">
        <is>
          <t>Jobs.cz, LinkedIn Czech Republic, Prace.cz</t>
        </is>
      </c>
      <c r="E15" s="36" t="inlineStr">
        <is>
          <t>$0.66-$2.64; $1.32-$5.28</t>
        </is>
      </c>
      <c r="F15" s="36" t="inlineStr">
        <is>
          <t>$13-$53; $18-$66</t>
        </is>
      </c>
      <c r="G15" s="36" t="inlineStr">
        <is>
          <t>Entry Level: $2,640 | Professional: $6,600 | Senior: $15,400 | Executive: $35,200</t>
        </is>
      </c>
      <c r="H15" s="36" t="inlineStr">
        <is>
          <t>Notice: 60d; Labour Code (Zakonik prace) governs employment</t>
        </is>
      </c>
    </row>
    <row r="16">
      <c r="B16" s="41" t="inlineStr">
        <is>
          <t>Denmark</t>
        </is>
      </c>
      <c r="C16" s="41" t="inlineStr">
        <is>
          <t>EMEA</t>
        </is>
      </c>
      <c r="D16" s="41" t="inlineStr">
        <is>
          <t>Jobindex, LinkedIn Denmark, Indeed Denmark</t>
        </is>
      </c>
      <c r="E16" s="41" t="inlineStr">
        <is>
          <t>$0.73-$3.63; $1.45-$6.53</t>
        </is>
      </c>
      <c r="F16" s="41" t="inlineStr">
        <is>
          <t>$7-$36; $12-$51</t>
        </is>
      </c>
      <c r="G16" s="41" t="inlineStr">
        <is>
          <t>Entry Level: $3,625 | Professional: $9,425 | Senior: $21,750 | Executive: $50,750</t>
        </is>
      </c>
      <c r="H16" s="41" t="inlineStr">
        <is>
          <t>Notice: 90d; Flexicurity model: liberal dismissal rules + generous unemployment benefits</t>
        </is>
      </c>
    </row>
    <row r="17">
      <c r="B17" s="36" t="inlineStr">
        <is>
          <t>France</t>
        </is>
      </c>
      <c r="C17" s="36" t="inlineStr">
        <is>
          <t>EMEA</t>
        </is>
      </c>
      <c r="D17" s="36" t="inlineStr">
        <is>
          <t>Pole Emploi (France Travail), Indeed France, LinkedIn France</t>
        </is>
      </c>
      <c r="E17" s="36" t="inlineStr">
        <is>
          <t>$0.16-$1.31; $1.31-$6.00</t>
        </is>
      </c>
      <c r="F17" s="36" t="inlineStr">
        <is>
          <t>$4-$33; $9-$44</t>
        </is>
      </c>
      <c r="G17" s="36" t="inlineStr">
        <is>
          <t>Entry Level: $3,815 | Professional: $8,720 | Senior: $19,620 | Executive: $49,050</t>
        </is>
      </c>
      <c r="H17" s="36" t="inlineStr">
        <is>
          <t>Notice: 60d; Code du Travail (Labor Code) -- one of the most comprehensive in the world</t>
        </is>
      </c>
    </row>
    <row r="18">
      <c r="B18" s="41" t="inlineStr">
        <is>
          <t>Germany</t>
        </is>
      </c>
      <c r="C18" s="41" t="inlineStr">
        <is>
          <t>EMEA</t>
        </is>
      </c>
      <c r="D18" s="41" t="inlineStr">
        <is>
          <t>StepStone, Indeed Germany, XING (onlyfy)</t>
        </is>
      </c>
      <c r="E18" s="41" t="inlineStr">
        <is>
          <t>$0.55-$2.73; $0.22-$1.64</t>
        </is>
      </c>
      <c r="F18" s="41" t="inlineStr">
        <is>
          <t>$11-$54; $5-$38</t>
        </is>
      </c>
      <c r="G18" s="41" t="inlineStr">
        <is>
          <t>Entry Level: $4,360 | Professional: $10,900 | Senior: $23,980 | Executive: $54,500</t>
        </is>
      </c>
      <c r="H18" s="41" t="inlineStr">
        <is>
          <t>Notice: 90d; EU GDPR (DSGVO in German) strictly enforced -- heavy fines for violations</t>
        </is>
      </c>
    </row>
    <row r="19">
      <c r="B19" s="36" t="inlineStr">
        <is>
          <t>India</t>
        </is>
      </c>
      <c r="C19" s="36" t="inlineStr">
        <is>
          <t>APAC</t>
        </is>
      </c>
      <c r="D19" s="36" t="inlineStr">
        <is>
          <t>Naukri.com, LinkedIn India, Indeed India</t>
        </is>
      </c>
      <c r="E19" s="36" t="inlineStr">
        <is>
          <t>$0.10-$0.30; $0.48-$1.80</t>
        </is>
      </c>
      <c r="F19" s="36" t="inlineStr">
        <is>
          <t>$1-$6; $2-$10</t>
        </is>
      </c>
      <c r="G19" s="36" t="inlineStr">
        <is>
          <t>Entry Level: $180 | Professional: $900 | Senior: $2,400 | Executive: $6,000</t>
        </is>
      </c>
      <c r="H19" s="36" t="inlineStr">
        <is>
          <t>Notice: 60d; No unified data protection law until DPDPA 2023 (Digital Personal Data Protectio</t>
        </is>
      </c>
    </row>
    <row r="20">
      <c r="B20" s="41" t="inlineStr">
        <is>
          <t>Japan</t>
        </is>
      </c>
      <c r="C20" s="41" t="inlineStr">
        <is>
          <t>APAC</t>
        </is>
      </c>
      <c r="D20" s="41" t="inlineStr">
        <is>
          <t>Recruit (Rikunabi / Indeed Japan), Doda, Mynavi</t>
        </is>
      </c>
      <c r="E20" s="41" t="inlineStr">
        <is>
          <t>$0.34-$1.34; $0.27-$1.21</t>
        </is>
      </c>
      <c r="F20" s="41" t="inlineStr">
        <is>
          <t>$13-$54; $12-$47</t>
        </is>
      </c>
      <c r="G20" s="41" t="inlineStr">
        <is>
          <t>Entry Level: $2,345 | Professional: $5,360 | Senior: $13,400 | Executive: $33,500</t>
        </is>
      </c>
      <c r="H20" s="41" t="inlineStr">
        <is>
          <t>Notice: 30d; Labor Standards Act sets minimum conditions (overtime caps, paid leave)</t>
        </is>
      </c>
    </row>
    <row r="21">
      <c r="B21" s="36" t="inlineStr">
        <is>
          <t>Malaysia</t>
        </is>
      </c>
      <c r="C21" s="36" t="inlineStr">
        <is>
          <t>APAC</t>
        </is>
      </c>
      <c r="D21" s="36" t="inlineStr">
        <is>
          <t>JobStreet Malaysia, LinkedIn Malaysia, Indeed Malaysia</t>
        </is>
      </c>
      <c r="E21" s="36" t="inlineStr">
        <is>
          <t>$0.22-$1.10; $0.44-$2.20</t>
        </is>
      </c>
      <c r="F21" s="36" t="inlineStr">
        <is>
          <t>$2-$11; $3-$13</t>
        </is>
      </c>
      <c r="G21" s="36" t="inlineStr">
        <is>
          <t>Entry Level: $660 | Professional: $2,200 | Senior: $5,500 | Executive: $13,200</t>
        </is>
      </c>
      <c r="H21" s="36" t="inlineStr">
        <is>
          <t>Notice: 30d; Employment Act 1955 (amended 2022) governs employment</t>
        </is>
      </c>
    </row>
    <row r="22">
      <c r="B22" s="41" t="inlineStr">
        <is>
          <t>Mexico</t>
        </is>
      </c>
      <c r="C22" s="41" t="inlineStr">
        <is>
          <t>LATAM</t>
        </is>
      </c>
      <c r="D22" s="41" t="inlineStr">
        <is>
          <t>OCC Mundial, Indeed Mexico, LinkedIn Mexico</t>
        </is>
      </c>
      <c r="E22" s="41" t="inlineStr">
        <is>
          <t>$0.12-$0.70; $0.06-$0.46</t>
        </is>
      </c>
      <c r="F22" s="41" t="inlineStr">
        <is>
          <t>$2-$9; $1-$6</t>
        </is>
      </c>
      <c r="G22" s="41" t="inlineStr">
        <is>
          <t>Entry Level: $290 | Professional: $1,450 | Senior: $4,640 | Executive: $14,500</t>
        </is>
      </c>
      <c r="H22" s="41" t="inlineStr">
        <is>
          <t>Notice: 15d; Ley Federal del Trabajo (Federal Labor Law) governs employment</t>
        </is>
      </c>
    </row>
    <row r="23">
      <c r="B23" s="36" t="inlineStr">
        <is>
          <t>Netherlands</t>
        </is>
      </c>
      <c r="C23" s="36" t="inlineStr">
        <is>
          <t>EMEA</t>
        </is>
      </c>
      <c r="D23" s="36" t="inlineStr">
        <is>
          <t>Indeed Netherlands, LinkedIn Netherlands, Nationale Vacaturebank</t>
        </is>
      </c>
      <c r="E23" s="36" t="inlineStr">
        <is>
          <t>$0.22-$1.64; $1.64-$6.54</t>
        </is>
      </c>
      <c r="F23" s="36" t="inlineStr">
        <is>
          <t>$5-$33; $11-$49</t>
        </is>
      </c>
      <c r="G23" s="36" t="inlineStr">
        <is>
          <t>Entry Level: $3,815 | Professional: $9,810 | Senior: $21,800 | Executive: $49,050</t>
        </is>
      </c>
      <c r="H23" s="36" t="inlineStr">
        <is>
          <t>Notice: 30d; EU GDPR strictly enforced by Autoriteit Persoonsgegevens (AP)</t>
        </is>
      </c>
    </row>
    <row r="24">
      <c r="B24" s="41" t="inlineStr">
        <is>
          <t>New Zealand</t>
        </is>
      </c>
      <c r="C24" s="41" t="inlineStr">
        <is>
          <t>APAC</t>
        </is>
      </c>
      <c r="D24" s="41" t="inlineStr">
        <is>
          <t>Seek New Zealand, Trade Me Jobs, LinkedIn New Zealand</t>
        </is>
      </c>
      <c r="E24" s="41" t="inlineStr">
        <is>
          <t>$0.90-$3.00; $0.60-$2.40</t>
        </is>
      </c>
      <c r="F24" s="41" t="inlineStr">
        <is>
          <t>$12-$42; $9-$33</t>
        </is>
      </c>
      <c r="G24" s="41" t="inlineStr">
        <is>
          <t>Entry Level: $2,700 | Professional: $6,000 | Senior: $13,200 | Executive: $30,000</t>
        </is>
      </c>
      <c r="H24" s="41" t="inlineStr">
        <is>
          <t>Notice: 28d; Employment Relations Act 2000 governs employment</t>
        </is>
      </c>
    </row>
    <row r="25">
      <c r="B25" s="36" t="inlineStr">
        <is>
          <t>Nigeria</t>
        </is>
      </c>
      <c r="C25" s="36" t="inlineStr">
        <is>
          <t>EMEA</t>
        </is>
      </c>
      <c r="D25" s="36" t="inlineStr">
        <is>
          <t>Jobberman, LinkedIn Nigeria, MyJobMag</t>
        </is>
      </c>
      <c r="E25" s="36" t="inlineStr">
        <is>
          <t>$0.03-$0.19; $0.09-$0.50</t>
        </is>
      </c>
      <c r="F25" s="36" t="inlineStr">
        <is>
          <t>$0-$2; $1-$3</t>
        </is>
      </c>
      <c r="G25" s="36" t="inlineStr">
        <is>
          <t>Entry Level: $95 | Professional: $504 | Senior: $1,890 | Executive: $6,300</t>
        </is>
      </c>
      <c r="H25" s="36" t="inlineStr">
        <is>
          <t>Notice: 30d; Nigerian Labour Act governs employment</t>
        </is>
      </c>
    </row>
    <row r="26">
      <c r="B26" s="41" t="inlineStr">
        <is>
          <t>Norway</t>
        </is>
      </c>
      <c r="C26" s="41" t="inlineStr">
        <is>
          <t>EMEA</t>
        </is>
      </c>
      <c r="D26" s="41" t="inlineStr">
        <is>
          <t>Finn.no Jobb, LinkedIn Norway, NAV (Norwegian Labour and Welfare Administration)</t>
        </is>
      </c>
      <c r="E26" s="41" t="inlineStr">
        <is>
          <t>$0.94-$4.70; $1.88-$7.52</t>
        </is>
      </c>
      <c r="F26" s="41" t="inlineStr">
        <is>
          <t>$9-$47; $14-$56</t>
        </is>
      </c>
      <c r="G26" s="41" t="inlineStr">
        <is>
          <t>Entry Level: $4,700 | Professional: $11,280 | Senior: $26,320 | Executive: $56,400</t>
        </is>
      </c>
      <c r="H26" s="41" t="inlineStr">
        <is>
          <t>Notice: 90d; Working Environment Act (Arbeidsmiljoloven) governs employment</t>
        </is>
      </c>
    </row>
    <row r="27">
      <c r="B27" s="36" t="inlineStr">
        <is>
          <t>Peru</t>
        </is>
      </c>
      <c r="C27" s="36" t="inlineStr">
        <is>
          <t>LATAM</t>
        </is>
      </c>
      <c r="D27" s="36" t="inlineStr">
        <is>
          <t>Computrabajo Peru, LinkedIn Peru, Bumeran Peru</t>
        </is>
      </c>
      <c r="E27" s="36" t="inlineStr">
        <is>
          <t>$0.14-$0.81; $0.41-$2.16</t>
        </is>
      </c>
      <c r="F27" s="36" t="inlineStr">
        <is>
          <t>$1-$8; $3-$14</t>
        </is>
      </c>
      <c r="G27" s="36" t="inlineStr">
        <is>
          <t>Entry Level: $675 | Professional: $2,160 | Senior: $5,400 | Executive: $12,150</t>
        </is>
      </c>
      <c r="H27" s="36" t="inlineStr">
        <is>
          <t>Notice: 30d; General Labour Law (Ley de Productividad y Competitividad Laboral) governs emplo</t>
        </is>
      </c>
    </row>
    <row r="28">
      <c r="B28" s="41" t="inlineStr">
        <is>
          <t>Philippines</t>
        </is>
      </c>
      <c r="C28" s="41" t="inlineStr">
        <is>
          <t>APAC</t>
        </is>
      </c>
      <c r="D28" s="41" t="inlineStr">
        <is>
          <t>JobStreet Philippines, Indeed Philippines, Kalibrr</t>
        </is>
      </c>
      <c r="E28" s="41" t="inlineStr">
        <is>
          <t>$0.09-$0.45; $0.05-$0.32</t>
        </is>
      </c>
      <c r="F28" s="41" t="inlineStr">
        <is>
          <t>$1-$7; $1-$5</t>
        </is>
      </c>
      <c r="G28" s="41" t="inlineStr">
        <is>
          <t>Entry Level: $144 | Professional: $720 | Senior: $2,160 | Executive: $6,300</t>
        </is>
      </c>
      <c r="H28" s="41" t="inlineStr">
        <is>
          <t>Notice: 30d; Labor Code of the Philippines governs employment</t>
        </is>
      </c>
    </row>
    <row r="29">
      <c r="B29" s="36" t="inlineStr">
        <is>
          <t>Poland</t>
        </is>
      </c>
      <c r="C29" s="36" t="inlineStr">
        <is>
          <t>EMEA</t>
        </is>
      </c>
      <c r="D29" s="36" t="inlineStr">
        <is>
          <t>Pracuj.pl, LinkedIn Poland, OLX Praca</t>
        </is>
      </c>
      <c r="E29" s="36" t="inlineStr">
        <is>
          <t>$0.38-$1.50; $0.75-$3.00</t>
        </is>
      </c>
      <c r="F29" s="36" t="inlineStr">
        <is>
          <t>$5-$20; $8-$25</t>
        </is>
      </c>
      <c r="G29" s="36" t="inlineStr">
        <is>
          <t>Entry Level: $1,500 | Professional: $4,500 | Senior: $10,000 | Executive: $25,000</t>
        </is>
      </c>
      <c r="H29" s="36" t="inlineStr">
        <is>
          <t>Notice: 30d; Polish Labour Code (Kodeks pracy) governs employment</t>
        </is>
      </c>
    </row>
    <row r="30">
      <c r="B30" s="41" t="inlineStr">
        <is>
          <t>Romania</t>
        </is>
      </c>
      <c r="C30" s="41" t="inlineStr">
        <is>
          <t>EMEA</t>
        </is>
      </c>
      <c r="D30" s="41" t="inlineStr">
        <is>
          <t>eJobs.ro, BestJobs.eu, LinkedIn Romania</t>
        </is>
      </c>
      <c r="E30" s="41" t="inlineStr">
        <is>
          <t>$0.22-$1.10; $0.18-$0.88</t>
        </is>
      </c>
      <c r="F30" s="41" t="inlineStr">
        <is>
          <t>$3-$15; $3-$13</t>
        </is>
      </c>
      <c r="G30" s="41" t="inlineStr">
        <is>
          <t>Entry Level: $1,100 | Professional: $3,300 | Senior: $7,700 | Executive: $17,600</t>
        </is>
      </c>
      <c r="H30" s="41" t="inlineStr">
        <is>
          <t>Notice: 20d; Romanian Labour Code (Codul Muncii) governs employment</t>
        </is>
      </c>
    </row>
    <row r="31">
      <c r="B31" s="36" t="inlineStr">
        <is>
          <t>Saudi Arabia</t>
        </is>
      </c>
      <c r="C31" s="36" t="inlineStr">
        <is>
          <t>EMEA</t>
        </is>
      </c>
      <c r="D31" s="36" t="inlineStr">
        <is>
          <t>LinkedIn Saudi Arabia, Bayt.com, Taqat (HRDF)</t>
        </is>
      </c>
      <c r="E31" s="36" t="inlineStr">
        <is>
          <t>$0.54-$2.70; $0.41-$2.16</t>
        </is>
      </c>
      <c r="F31" s="36" t="inlineStr">
        <is>
          <t>$5-$22; $4-$16</t>
        </is>
      </c>
      <c r="G31" s="36" t="inlineStr">
        <is>
          <t>Entry Level: $2,160 | Professional: $6,750 | Senior: $16,200 | Executive: $40,500</t>
        </is>
      </c>
      <c r="H31" s="36" t="inlineStr">
        <is>
          <t>Notice: 30d; Saudi Labour Law (Royal Decree M/51) governs employment</t>
        </is>
      </c>
    </row>
    <row r="32">
      <c r="B32" s="41" t="inlineStr">
        <is>
          <t>Singapore</t>
        </is>
      </c>
      <c r="C32" s="41" t="inlineStr">
        <is>
          <t>APAC</t>
        </is>
      </c>
      <c r="D32" s="41" t="inlineStr">
        <is>
          <t>MyCareersFuture (MCF), LinkedIn Singapore, JobStreet Singapore</t>
        </is>
      </c>
      <c r="E32" s="41" t="inlineStr">
        <is>
          <t>$0.00-$0.00; $1.50-$6.00</t>
        </is>
      </c>
      <c r="F32" s="41" t="inlineStr">
        <is>
          <t>$11-$45; $8-$30</t>
        </is>
      </c>
      <c r="G32" s="41" t="inlineStr">
        <is>
          <t>Entry Level: $3,000 | Professional: $7,500 | Senior: $16,500 | Executive: $37,500</t>
        </is>
      </c>
      <c r="H32" s="41" t="inlineStr">
        <is>
          <t>Notice: 30d; Employment Act covers most employees (salary &lt;= S$4,500 for manual workers)</t>
        </is>
      </c>
    </row>
    <row r="33">
      <c r="B33" s="36" t="inlineStr">
        <is>
          <t>South Africa</t>
        </is>
      </c>
      <c r="C33" s="36" t="inlineStr">
        <is>
          <t>EMEA</t>
        </is>
      </c>
      <c r="D33" s="36" t="inlineStr">
        <is>
          <t>Careers24, LinkedIn South Africa, Indeed South Africa</t>
        </is>
      </c>
      <c r="E33" s="36" t="inlineStr">
        <is>
          <t>$0.17-$0.83; $0.44-$2.20</t>
        </is>
      </c>
      <c r="F33" s="36" t="inlineStr">
        <is>
          <t>$2-$11; $3-$14</t>
        </is>
      </c>
      <c r="G33" s="36" t="inlineStr">
        <is>
          <t>Entry Level: $550 | Professional: $2,200 | Senior: $5,500 | Executive: $16,500</t>
        </is>
      </c>
      <c r="H33" s="36" t="inlineStr">
        <is>
          <t>Notice: 30d; Labour Relations Act (LRA) -- strong dismissal protections</t>
        </is>
      </c>
    </row>
    <row r="34">
      <c r="B34" s="41" t="inlineStr">
        <is>
          <t>South Korea</t>
        </is>
      </c>
      <c r="C34" s="41" t="inlineStr">
        <is>
          <t>APAC</t>
        </is>
      </c>
      <c r="D34" s="41" t="inlineStr">
        <is>
          <t>Saramin, JobKorea, LinkedIn South Korea</t>
        </is>
      </c>
      <c r="E34" s="41" t="inlineStr">
        <is>
          <t>$0.22-$1.11; $0.19-$0.89</t>
        </is>
      </c>
      <c r="F34" s="41" t="inlineStr">
        <is>
          <t>$4-$18; $3-$15</t>
        </is>
      </c>
      <c r="G34" s="41" t="inlineStr">
        <is>
          <t>Entry Level: $2,220 | Professional: $5,920 | Senior: $14,800 | Executive: $37,000</t>
        </is>
      </c>
      <c r="H34" s="41" t="inlineStr">
        <is>
          <t>Notice: 30d; Labor Standards Act governs employment (applies to 5+ employees)</t>
        </is>
      </c>
    </row>
    <row r="35">
      <c r="B35" s="36" t="inlineStr">
        <is>
          <t>Sweden</t>
        </is>
      </c>
      <c r="C35" s="36" t="inlineStr">
        <is>
          <t>EMEA</t>
        </is>
      </c>
      <c r="D35" s="36" t="inlineStr">
        <is>
          <t>Arbetsformedlingen (Swedish Public Employment Service), LinkedIn Sweden, Indeed Sweden</t>
        </is>
      </c>
      <c r="E35" s="36" t="inlineStr">
        <is>
          <t>$0.00-$0.00; $1.44-$5.76</t>
        </is>
      </c>
      <c r="F35" s="36" t="inlineStr">
        <is>
          <t>$10-$38; $6-$24</t>
        </is>
      </c>
      <c r="G35" s="36" t="inlineStr">
        <is>
          <t>Entry Level: $3,840 | Professional: $9,600 | Senior: $21,120 | Executive: $48,000</t>
        </is>
      </c>
      <c r="H35" s="36" t="inlineStr">
        <is>
          <t>Notice: 90d; Employment Protection Act (LAS) -- strong dismissal protection</t>
        </is>
      </c>
    </row>
    <row r="36">
      <c r="B36" s="41" t="inlineStr">
        <is>
          <t>Switzerland</t>
        </is>
      </c>
      <c r="C36" s="41" t="inlineStr">
        <is>
          <t>EMEA</t>
        </is>
      </c>
      <c r="D36" s="41" t="inlineStr">
        <is>
          <t>Jobs.ch, LinkedIn Switzerland, Jobscout24 / Jobup.ch</t>
        </is>
      </c>
      <c r="E36" s="41" t="inlineStr">
        <is>
          <t>$1.68-$6.72; $2.80-$13.44</t>
        </is>
      </c>
      <c r="F36" s="41" t="inlineStr">
        <is>
          <t>$22-$90; $28-$112</t>
        </is>
      </c>
      <c r="G36" s="41" t="inlineStr">
        <is>
          <t>Entry Level: $6,720 | Professional: $16,800 | Senior: $39,200 | Executive: $89,600</t>
        </is>
      </c>
      <c r="H36" s="41" t="inlineStr">
        <is>
          <t>Notice: 90d; Swiss Code of Obligations (OR) governs employment contracts</t>
        </is>
      </c>
    </row>
    <row r="37">
      <c r="B37" s="36" t="inlineStr">
        <is>
          <t>Taiwan</t>
        </is>
      </c>
      <c r="C37" s="36" t="inlineStr">
        <is>
          <t>APAC</t>
        </is>
      </c>
      <c r="D37" s="36" t="inlineStr">
        <is>
          <t>104 Job Bank, 1111 Job Bank, LinkedIn Taiwan</t>
        </is>
      </c>
      <c r="E37" s="36" t="inlineStr">
        <is>
          <t>$0.31-$1.55; $0.25-$1.24</t>
        </is>
      </c>
      <c r="F37" s="36" t="inlineStr">
        <is>
          <t>$5-$22; $4-$19</t>
        </is>
      </c>
      <c r="G37" s="36" t="inlineStr">
        <is>
          <t>Entry Level: $1,550 | Professional: $4,650 | Senior: $10,850 | Executive: $24,800</t>
        </is>
      </c>
      <c r="H37" s="36" t="inlineStr">
        <is>
          <t>Notice: 30d; Labor Standards Act governs employment</t>
        </is>
      </c>
    </row>
    <row r="38">
      <c r="B38" s="41" t="inlineStr">
        <is>
          <t>Thailand</t>
        </is>
      </c>
      <c r="C38" s="41" t="inlineStr">
        <is>
          <t>APAC</t>
        </is>
      </c>
      <c r="D38" s="41" t="inlineStr">
        <is>
          <t>JobThai, JobsDB Thailand, LinkedIn Thailand</t>
        </is>
      </c>
      <c r="E38" s="41" t="inlineStr">
        <is>
          <t>$0.08-$0.42; $0.14-$0.56</t>
        </is>
      </c>
      <c r="F38" s="41" t="inlineStr">
        <is>
          <t>$1-$7; $2-$8</t>
        </is>
      </c>
      <c r="G38" s="41" t="inlineStr">
        <is>
          <t>Entry Level: $420 | Professional: $1,400 | Senior: $3,360 | Executive: $9,800</t>
        </is>
      </c>
      <c r="H38" s="41" t="inlineStr">
        <is>
          <t>Notice: 30d; Labour Protection Act B.E. 2541 (1998) governs employment</t>
        </is>
      </c>
    </row>
    <row r="39">
      <c r="B39" s="36" t="inlineStr">
        <is>
          <t>Turkey</t>
        </is>
      </c>
      <c r="C39" s="36" t="inlineStr">
        <is>
          <t>EMEA</t>
        </is>
      </c>
      <c r="D39" s="36" t="inlineStr">
        <is>
          <t>Kariyer.net, LinkedIn Turkey, Indeed Turkey</t>
        </is>
      </c>
      <c r="E39" s="36" t="inlineStr">
        <is>
          <t>$0.06-$0.31; $0.16-$0.78</t>
        </is>
      </c>
      <c r="F39" s="36" t="inlineStr">
        <is>
          <t>$1-$5; $2-$6</t>
        </is>
      </c>
      <c r="G39" s="36" t="inlineStr">
        <is>
          <t>Entry Level: $1,550 | Professional: $4,650 | Senior: $10,850 | Executive: $24,800</t>
        </is>
      </c>
      <c r="H39" s="36" t="inlineStr">
        <is>
          <t>Notice: 28d; Turkish Labour Law No. 4857 governs employment</t>
        </is>
      </c>
    </row>
    <row r="40">
      <c r="B40" s="41" t="inlineStr">
        <is>
          <t>United Arab Emirates</t>
        </is>
      </c>
      <c r="C40" s="41" t="inlineStr">
        <is>
          <t>EMEA</t>
        </is>
      </c>
      <c r="D40" s="41" t="inlineStr">
        <is>
          <t>Bayt.com, LinkedIn UAE, GulfTalent</t>
        </is>
      </c>
      <c r="E40" s="41" t="inlineStr">
        <is>
          <t>$0.27-$1.36; $0.82-$3.27</t>
        </is>
      </c>
      <c r="F40" s="41" t="inlineStr">
        <is>
          <t>$4-$22; $5-$22</t>
        </is>
      </c>
      <c r="G40" s="41" t="inlineStr">
        <is>
          <t>Entry Level: $2,178 | Professional: $6,806 | Senior: $16,335 | Executive: $40,838</t>
        </is>
      </c>
      <c r="H40" s="41" t="inlineStr">
        <is>
          <t>Notice: 30d; Federal Decree-Law No. 33 of 2021 (new Labour Law effective Feb 2022)</t>
        </is>
      </c>
    </row>
    <row r="41">
      <c r="B41" s="36" t="inlineStr">
        <is>
          <t>United Kingdom</t>
        </is>
      </c>
      <c r="C41" s="36" t="inlineStr">
        <is>
          <t>EMEA</t>
        </is>
      </c>
      <c r="D41" s="36" t="inlineStr">
        <is>
          <t>Indeed UK, Reed.co.uk, Totaljobs</t>
        </is>
      </c>
      <c r="E41" s="36" t="inlineStr">
        <is>
          <t>$0.25-$1.52; $0.38-$1.91</t>
        </is>
      </c>
      <c r="F41" s="36" t="inlineStr">
        <is>
          <t>$5-$32; $6-$38</t>
        </is>
      </c>
      <c r="G41" s="36" t="inlineStr">
        <is>
          <t>Entry Level: $3,175 | Professional: $7,620 | Senior: $19,050 | Executive: $44,450</t>
        </is>
      </c>
      <c r="H41" s="36" t="inlineStr">
        <is>
          <t>Notice: 30d; UK GDPR (post-Brexit Data Protection Act 2018) governs candidate data</t>
        </is>
      </c>
    </row>
    <row r="42">
      <c r="B42" s="41" t="inlineStr">
        <is>
          <t>Vietnam</t>
        </is>
      </c>
      <c r="C42" s="41" t="inlineStr">
        <is>
          <t>APAC</t>
        </is>
      </c>
      <c r="D42" s="41" t="inlineStr">
        <is>
          <t>VietnamWorks, TopCV.vn, LinkedIn Vietnam</t>
        </is>
      </c>
      <c r="E42" s="41" t="inlineStr">
        <is>
          <t>$0.12-$0.60; $0.08-$0.48</t>
        </is>
      </c>
      <c r="F42" s="41" t="inlineStr">
        <is>
          <t>$1-$6; $1-$5</t>
        </is>
      </c>
      <c r="G42" s="41" t="inlineStr">
        <is>
          <t>Entry Level: $200 | Professional: $800 | Senior: $2,000 | Executive: $6,000</t>
        </is>
      </c>
      <c r="H42" s="41" t="inlineStr">
        <is>
          <t>Notice: 30d; Vietnamese Labour Code (2019, effective 2021) governs employment</t>
        </is>
      </c>
    </row>
    <row r="44">
      <c r="B44" s="97" t="inlineStr">
        <is>
          <t>All USD figures use March 2026 mid-market exchange rates. CPC/CPA from top 3 platforms per country. CPH = Cost-Per-Hire by role tier. Source: 28 industry reports aggregated in international_benchmarks_2026.json.</t>
        </is>
      </c>
    </row>
    <row r="45">
      <c r="B45" s="2" t="inlineStr">
        <is>
          <t>Generated by Nova AI Media Plan Generator | July 23, 2026 | Created by Shubham Singh Chandel | Joveo Global Supply Team</t>
        </is>
      </c>
    </row>
  </sheetData>
  <mergeCells count="2">
    <mergeCell ref="B44:H44"/>
    <mergeCell ref="B45:H4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Nova AI by Joveo</dc:creator>
  <dc:title xmlns:dc="http://purl.org/dc/elements/1.1/">Recruitment Media Plan - Uber</dc:title>
  <dc:description xmlns:dc="http://purl.org/dc/elements/1.1/">Generated by Nova AI Media Plan Generator. Consolidated 5-sheet format with ROI projections.</dc:description>
  <dc:subject xmlns:dc="http://purl.org/dc/elements/1.1/">AI-generated recruitment media plan for Uber</dc:subject>
  <dcterms:created xmlns:dcterms="http://purl.org/dc/terms/" xmlns:xsi="http://www.w3.org/2001/XMLSchema-instance" xsi:type="dcterms:W3CDTF">2026-07-23T20:55:36Z</dcterms:created>
  <dcterms:modified xmlns:dcterms="http://purl.org/dc/terms/" xmlns:xsi="http://www.w3.org/2001/XMLSchema-instance" xsi:type="dcterms:W3CDTF">2026-07-23T20:55:36Z</dcterms:modified>
  <cp:lastModifiedBy>Nova AI by Joveo</cp:lastModifiedBy>
  <cp:category>Recruitment Advertising</cp:category>
  <cp:keywords>recruitment media plan, hospitality_travel, job advertising</cp:keywords>
</cp:coreProperties>
</file>